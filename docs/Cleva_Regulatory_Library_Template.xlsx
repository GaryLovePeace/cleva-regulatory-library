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c8fbe49b5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5608d89ab54314"/>
    <x:sheet xmlns:r="http://schemas.openxmlformats.org/officeDocument/2006/relationships" name="Regulation_Master" sheetId="2" r:id="Rccd154edc8c048a5"/>
    <x:sheet xmlns:r="http://schemas.openxmlformats.org/officeDocument/2006/relationships" name="Pending_Review" sheetId="3" r:id="Rea3ec10b448542d7"/>
    <x:sheet xmlns:r="http://schemas.openxmlformats.org/officeDocument/2006/relationships" name="Search_History" sheetId="4" r:id="Re4f1f4c2999445fb"/>
    <x:sheet xmlns:r="http://schemas.openxmlformats.org/officeDocument/2006/relationships" name="Source_Registry" sheetId="5" r:id="Rd5b5c155126f4294"/>
    <x:sheet xmlns:r="http://schemas.openxmlformats.org/officeDocument/2006/relationships" name="Taxonomy" sheetId="6" r:id="R545ca5a026d14dd1"/>
    <x:sheet xmlns:r="http://schemas.openxmlformats.org/officeDocument/2006/relationships" name="Instructions" sheetId="7" r:id="R4e5fe166a9a94a61"/>
    <x:sheet xmlns:r="http://schemas.openxmlformats.org/officeDocument/2006/relationships" name="Regulatory_Intelligence" sheetId="8" r:id="R59640acd8089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b/>
      <x:sz val="17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14">
    <x:border/>
    <x:border/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/>
    <x:xf numFmtId="0" fontId="5" fillId="0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/>
    <x:xf numFmtId="0" fontId="5" fillId="0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/>
    <x:xf numFmtId="0" fontId="5" fillId="0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/>
    <x:xf numFmtId="0" fontId="5" fillId="0" borderId="1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/>
    <x:xf numFmtId="0" fontId="0" fillId="0" borderId="5" xfId="0" applyNumberFormat="1" applyFont="1" applyFill="1" applyBorder="1"/>
    <x:xf numFmtId="0" fontId="0" fillId="5" borderId="6" xfId="0" applyNumberFormat="1" applyFont="1" applyFill="1" applyBorder="1"/>
    <x:xf numFmtId="0" fontId="0" fillId="0" borderId="7" xfId="0" applyNumberFormat="1" applyFont="1" applyFill="1" applyBorder="1"/>
    <x:xf numFmtId="0" fontId="0" fillId="5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12" xfId="0" applyNumberFormat="1" applyFont="1" applyFill="1" applyBorder="1"/>
    <x:xf numFmtId="0" fontId="0" fillId="0" borderId="13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ont>
        <x:b/>
      </x:font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color rgb="FF7F7F7F"/>
      </x:font>
      <x:fill>
        <x:patternFill>
          <x:bgColor rgb="FFD9D9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aa093ca174f28" /><Relationship Type="http://schemas.openxmlformats.org/officeDocument/2006/relationships/theme" Target="/xl/theme/theme1.xml" Id="R34b5d12c9b8e417e" /><Relationship Type="http://schemas.openxmlformats.org/officeDocument/2006/relationships/sharedStrings" Target="/xl/sharedStrings.xml" Id="R34b58dcc8f6e4a1b" /><Relationship Type="http://schemas.openxmlformats.org/officeDocument/2006/relationships/worksheet" Target="/xl/worksheets/sheet1.xml" Id="R5e5608d89ab54314" /><Relationship Type="http://schemas.openxmlformats.org/officeDocument/2006/relationships/worksheet" Target="/xl/worksheets/sheet2.xml" Id="Rccd154edc8c048a5" /><Relationship Type="http://schemas.openxmlformats.org/officeDocument/2006/relationships/worksheet" Target="/xl/worksheets/sheet3.xml" Id="Rea3ec10b448542d7" /><Relationship Type="http://schemas.openxmlformats.org/officeDocument/2006/relationships/worksheet" Target="/xl/worksheets/sheet4.xml" Id="Re4f1f4c2999445fb" /><Relationship Type="http://schemas.openxmlformats.org/officeDocument/2006/relationships/worksheet" Target="/xl/worksheets/sheet5.xml" Id="Rd5b5c155126f4294" /><Relationship Type="http://schemas.openxmlformats.org/officeDocument/2006/relationships/worksheet" Target="/xl/worksheets/sheet6.xml" Id="R545ca5a026d14dd1" /><Relationship Type="http://schemas.openxmlformats.org/officeDocument/2006/relationships/worksheet" Target="/xl/worksheets/sheet7.xml" Id="R4e5fe166a9a94a61" /><Relationship Type="http://schemas.openxmlformats.org/officeDocument/2006/relationships/worksheet" Target="/xl/worksheets/sheet8.xml" Id="R59640acd80894d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3b95764ca145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正式法规按地区分布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法规数量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3b95764ca145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ulationMasterTable" displayName="RegulationMasterTable" ref="A1:AB3" headerRowCount="1">
  <x:tableColumns count="28">
    <x:tableColumn id="1" name="Internal ID"/>
    <x:tableColumn id="2" name="Original Title"/>
    <x:tableColumn id="3" name="Chinese Title"/>
    <x:tableColumn id="4" name="Regulation Number"/>
    <x:tableColumn id="5" name="Jurisdiction Group"/>
    <x:tableColumn id="6" name="Country"/>
    <x:tableColumn id="7" name="State / Province"/>
    <x:tableColumn id="8" name="Authority"/>
    <x:tableColumn id="9" name="Document Type"/>
    <x:tableColumn id="10" name="Legal Status"/>
    <x:tableColumn id="11" name="Publication Date"/>
    <x:tableColumn id="12" name="Entry into Force"/>
    <x:tableColumn id="13" name="Application Date"/>
    <x:tableColumn id="14" name="Compliance Deadline"/>
    <x:tableColumn id="15" name="Topics"/>
    <x:tableColumn id="16" name="Business Lines"/>
    <x:tableColumn id="17" name="Relevance Level"/>
    <x:tableColumn id="18" name="Chinese Summary"/>
    <x:tableColumn id="19" name="Cleva Impact"/>
    <x:tableColumn id="20" name="Official URL"/>
    <x:tableColumn id="21" name="PDF URL"/>
    <x:tableColumn id="22" name="Source Name"/>
    <x:tableColumn id="23" name="Source Level"/>
    <x:tableColumn id="24" name="Last Verified Date"/>
    <x:tableColumn id="25" name="Reviewer"/>
    <x:tableColumn id="26" name="Version"/>
    <x:tableColumn id="27" name="Record Status"/>
    <x:tableColumn id="2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RegistryTable" displayName="SourceRegistryTable" ref="A1:G14" headerRowCount="1">
  <x:tableColumns count="7">
    <x:tableColumn id="1" name="Region"/>
    <x:tableColumn id="2" name="Official Source"/>
    <x:tableColumn id="3" name="Domain"/>
    <x:tableColumn id="4" name="Source Level"/>
    <x:tableColumn id="5" name="Primary Use"/>
    <x:tableColumn id="6" name="Enabled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axonomyTable" displayName="TaxonomyTable" ref="A1:D16" headerRowCount="1">
  <x:tableColumns count="4">
    <x:tableColumn id="1" name="Type"/>
    <x:tableColumn id="2" name="Value"/>
    <x:tableColumn id="3" name="Definition / Use"/>
    <x:tableColumn id="4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0d95d2cb9440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1154317d2244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f439390af1c4c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c1399ed1e204b6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4" max="4" width="20" hidden="0" customWidth="1"/>
    <x:col min="5" max="5" width="14" hidden="0" customWidth="1"/>
  </x:cols>
  <x:sheetData>
    <x:row r="1" ht="32" customHeight="1">
      <x:c r="A1" s="5" t="str">
        <x:v>Cleva Global Regulatory Library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使用流程：实时搜索 → 候选法规 → 人工核验官方链接 → 批准入库 → 导出Excel/Word</x:v>
      </x:c>
      <x:c r="B2" s="14"/>
      <x:c r="C2" s="14"/>
      <x:c r="D2" s="14"/>
      <x:c r="E2" s="14"/>
      <x:c r="F2" s="14"/>
      <x:c r="G2" s="14"/>
      <x:c r="H2" s="14"/>
    </x:row>
    <x:row r="4">
      <x:c r="A4" s="34" t="str">
        <x:v>关键指标</x:v>
      </x:c>
      <x:c r="B4" s="35" t="str">
        <x:v>数量</x:v>
      </x:c>
      <x:c r="D4" s="34" t="str">
        <x:v>地区</x:v>
      </x:c>
      <x:c r="E4" s="35" t="str">
        <x:v>法规数量</x:v>
      </x:c>
    </x:row>
    <x:row r="5">
      <x:c r="A5" s="36" t="str">
        <x:v>正式法规记录</x:v>
      </x:c>
      <x:c r="B5" s="37" t="n">
        <x:f>COUNTA(Regulation_Master!A2:A1000)</x:f>
        <x:v>2</x:v>
      </x:c>
      <x:c r="D5" s="46" t="str">
        <x:v>EU</x:v>
      </x:c>
      <x:c r="E5" s="47" t="n">
        <x:f>COUNTIF(Regulation_Master!E2:E1000,D5)</x:f>
        <x:v>2</x:v>
      </x:c>
    </x:row>
    <x:row r="6">
      <x:c r="A6" s="36" t="str">
        <x:v>高相关法规</x:v>
      </x:c>
      <x:c r="B6" s="37" t="n">
        <x:f>COUNTIF(Regulation_Master!Q2:Q1000,"High")</x:f>
        <x:v>2</x:v>
      </x:c>
      <x:c r="D6" s="46" t="str">
        <x:v>UK</x:v>
      </x:c>
      <x:c r="E6" s="47" t="n">
        <x:f>COUNTIF(Regulation_Master!E2:E1000,D6)</x:f>
        <x:v>0</x:v>
      </x:c>
    </x:row>
    <x:row r="7">
      <x:c r="A7" s="36" t="str">
        <x:v>待审核候选</x:v>
      </x:c>
      <x:c r="B7" s="37" t="n">
        <x:f>COUNT(Pending_Review!A2:A1000)</x:f>
        <x:v>0</x:v>
      </x:c>
      <x:c r="D7" s="46" t="str">
        <x:v>US Federal</x:v>
      </x:c>
      <x:c r="E7" s="47" t="n">
        <x:f>COUNTIF(Regulation_Master!E2:E1000,D7)</x:f>
        <x:v>0</x:v>
      </x:c>
    </x:row>
    <x:row r="8">
      <x:c r="A8" s="38" t="str">
        <x:v>已废止法规</x:v>
      </x:c>
      <x:c r="B8" s="39" t="n">
        <x:f>COUNTIF(Regulation_Master!J2:J1000,"Repealed")</x:f>
        <x:v>0</x:v>
      </x:c>
      <x:c r="D8" s="46" t="str">
        <x:v>US States</x:v>
      </x:c>
      <x:c r="E8" s="47" t="n">
        <x:f>COUNTIF(Regulation_Master!E2:E1000,D8)</x:f>
        <x:v>0</x:v>
      </x:c>
    </x:row>
    <x:row r="9">
      <x:c r="D9" s="46" t="str">
        <x:v>Canada Federal</x:v>
      </x:c>
      <x:c r="E9" s="47" t="n">
        <x:f>COUNTIF(Regulation_Master!E2:E1000,D9)</x:f>
        <x:v>0</x:v>
      </x:c>
    </x:row>
    <x:row r="10">
      <x:c r="D10" s="48" t="str">
        <x:v>Canada Provinces</x:v>
      </x:c>
      <x:c r="E10" s="49" t="n">
        <x:f>COUNTIF(Regulation_Master!E2:E1000,D10)</x:f>
        <x:v>0</x:v>
      </x:c>
    </x:row>
    <x:row r="11">
      <x:c r="A11" s="66" t="str">
        <x:v>审核红线</x:v>
      </x:c>
      <x:c r="B11" s="67" t="str">
        <x:v>要求</x:v>
      </x:c>
    </x:row>
    <x:row r="12">
      <x:c r="A12" s="68" t="str">
        <x:v>官方原文</x:v>
      </x:c>
      <x:c r="B12" s="69" t="str">
        <x:v>批准入库前必须打开并核验官方链接</x:v>
      </x:c>
    </x:row>
    <x:row r="13">
      <x:c r="A13" s="68" t="str">
        <x:v>法律状态</x:v>
      </x:c>
      <x:c r="B13" s="69" t="str">
        <x:v>必须区分正式法规、提案、咨询、指南和新闻</x:v>
      </x:c>
    </x:row>
    <x:row r="14">
      <x:c r="A14" s="68" t="str">
        <x:v>日期</x:v>
      </x:c>
      <x:c r="B14" s="69" t="str">
        <x:v>生效日期、适用日期和合规截止日期不得混淆</x:v>
      </x:c>
    </x:row>
    <x:row r="15">
      <x:c r="A15" s="70" t="str">
        <x:v>AI输出</x:v>
      </x:c>
      <x:c r="B15" s="71" t="str">
        <x:v>只能用于初筛，不能替代法务或合规审核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e0d95d2cb944097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3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8" hidden="0" customWidth="1"/>
    <x:col min="15" max="15" width="28" hidden="0" customWidth="1"/>
    <x:col min="16" max="16" width="24" hidden="0" customWidth="1"/>
    <x:col min="17" max="17" width="16" hidden="0" customWidth="1"/>
    <x:col min="18" max="18" width="48" hidden="0" customWidth="1"/>
    <x:col min="19" max="19" width="48" hidden="0" customWidth="1"/>
    <x:col min="20" max="20" width="55" hidden="0" customWidth="1"/>
    <x:col min="21" max="21" width="45" hidden="0" customWidth="1"/>
    <x:col min="22" max="22" width="20" hidden="0" customWidth="1"/>
    <x:col min="23" max="23" width="12" hidden="0" customWidth="1"/>
    <x:col min="24" max="24" width="16" hidden="0" customWidth="1"/>
    <x:col min="25" max="25" width="18" hidden="0" customWidth="1"/>
    <x:col min="26" max="26" width="10" hidden="0" customWidth="1"/>
    <x:col min="27" max="27" width="18" hidden="0" customWidth="1"/>
    <x:col min="28" max="28" width="36" hidden="0" customWidth="1"/>
  </x:cols>
  <x:sheetData>
    <x:row r="1" ht="34" customHeight="1">
      <x:c r="A1" s="79" t="str">
        <x:v>Internal ID</x:v>
      </x:c>
      <x:c r="B1" s="79" t="str">
        <x:v>Original Title</x:v>
      </x:c>
      <x:c r="C1" s="79" t="str">
        <x:v>Chinese Title</x:v>
      </x:c>
      <x:c r="D1" s="79" t="str">
        <x:v>Regulation Number</x:v>
      </x:c>
      <x:c r="E1" s="79" t="str">
        <x:v>Jurisdiction Group</x:v>
      </x:c>
      <x:c r="F1" s="79" t="str">
        <x:v>Country</x:v>
      </x:c>
      <x:c r="G1" s="79" t="str">
        <x:v>State / Province</x:v>
      </x:c>
      <x:c r="H1" s="79" t="str">
        <x:v>Authority</x:v>
      </x:c>
      <x:c r="I1" s="79" t="str">
        <x:v>Document Type</x:v>
      </x:c>
      <x:c r="J1" s="79" t="str">
        <x:v>Legal Status</x:v>
      </x:c>
      <x:c r="K1" s="79" t="str">
        <x:v>Publication Date</x:v>
      </x:c>
      <x:c r="L1" s="79" t="str">
        <x:v>Entry into Force</x:v>
      </x:c>
      <x:c r="M1" s="79" t="str">
        <x:v>Application Date</x:v>
      </x:c>
      <x:c r="N1" s="79" t="str">
        <x:v>Compliance Deadline</x:v>
      </x:c>
      <x:c r="O1" s="79" t="str">
        <x:v>Topics</x:v>
      </x:c>
      <x:c r="P1" s="79" t="str">
        <x:v>Business Lines</x:v>
      </x:c>
      <x:c r="Q1" s="79" t="str">
        <x:v>Relevance Level</x:v>
      </x:c>
      <x:c r="R1" s="79" t="str">
        <x:v>Chinese Summary</x:v>
      </x:c>
      <x:c r="S1" s="79" t="str">
        <x:v>Cleva Impact</x:v>
      </x:c>
      <x:c r="T1" s="79" t="str">
        <x:v>Official URL</x:v>
      </x:c>
      <x:c r="U1" s="79" t="str">
        <x:v>PDF URL</x:v>
      </x:c>
      <x:c r="V1" s="79" t="str">
        <x:v>Source Name</x:v>
      </x:c>
      <x:c r="W1" s="79" t="str">
        <x:v>Source Level</x:v>
      </x:c>
      <x:c r="X1" s="79" t="str">
        <x:v>Last Verified Date</x:v>
      </x:c>
      <x:c r="Y1" s="79" t="str">
        <x:v>Reviewer</x:v>
      </x:c>
      <x:c r="Z1" s="79" t="str">
        <x:v>Version</x:v>
      </x:c>
      <x:c r="AA1" s="79" t="str">
        <x:v>Record Status</x:v>
      </x:c>
      <x:c r="AB1" s="79" t="str">
        <x:v>Notes</x:v>
      </x:c>
    </x:row>
    <x:row r="2">
      <x:c r="A2" s="62" t="str">
        <x:v>EU-PPWR-2025-40</x:v>
      </x:c>
      <x:c r="B2" s="62" t="str">
        <x:v>Regulation (EU) 2025/40 of the European Parliament and of the Council of 19 December 2024 on packaging and packaging waste</x:v>
      </x:c>
      <x:c r="C2" s="62" t="str">
        <x:v>欧盟包装和包装废弃物法规（PPWR）</x:v>
      </x:c>
      <x:c r="D2" s="62" t="str">
        <x:v>Regulation (EU) 2025/40</x:v>
      </x:c>
      <x:c r="E2" s="62" t="str">
        <x:v>EU</x:v>
      </x:c>
      <x:c r="F2" s="62" t="str">
        <x:v>European Union</x:v>
      </x:c>
      <x:c r="G2" s="62" t="str"/>
      <x:c r="H2" s="62" t="str">
        <x:v>European Parliament and Council</x:v>
      </x:c>
      <x:c r="I2" s="62" t="str">
        <x:v>Regulation</x:v>
      </x:c>
      <x:c r="J2" s="62" t="str">
        <x:v>In force</x:v>
      </x:c>
      <x:c r="K2" s="62" t="str">
        <x:v>2025-01-22</x:v>
      </x:c>
      <x:c r="L2" s="62" t="str"/>
      <x:c r="M2" s="62" t="str">
        <x:v>2026-08-12</x:v>
      </x:c>
      <x:c r="N2" s="62" t="str"/>
      <x:c r="O2" s="62" t="str">
        <x:v>Packaging / PPWR / EPR</x:v>
      </x:c>
      <x:c r="P2" s="62" t="str">
        <x:v>All Products</x:v>
      </x:c>
      <x:c r="Q2" s="62" t="str">
        <x:v>High</x:v>
      </x:c>
      <x:c r="R2" s="62" t="str">
        <x:v>示例记录：涉及欧盟市场包装和包装废弃物管理。具体义务应按官方原文和后续配套法规逐条审核。</x:v>
      </x:c>
      <x:c r="S2" s="62" t="str">
        <x:v>所有出口欧盟的产品包装均可能受影响，应建立包装材料、重量、供应商和可回收性数据。</x:v>
      </x:c>
      <x:c r="T2" s="62" t="str">
        <x:v>https://eur-lex.europa.eu/eli/reg/2025/40/oj/eng</x:v>
      </x:c>
      <x:c r="U2" s="62" t="str"/>
      <x:c r="V2" s="62" t="str">
        <x:v>EUR-Lex</x:v>
      </x:c>
      <x:c r="W2" s="62" t="str">
        <x:v>A</x:v>
      </x:c>
      <x:c r="X2" s="62" t="str">
        <x:v>2026-07-14</x:v>
      </x:c>
      <x:c r="Y2" s="62" t="str">
        <x:v>Template Example</x:v>
      </x:c>
      <x:c r="Z2" s="62" t="str">
        <x:v>1</x:v>
      </x:c>
      <x:c r="AA2" s="62" t="str">
        <x:v>Approved Example</x:v>
      </x:c>
      <x:c r="AB2" s="62" t="str">
        <x:v>示例数据，仅用于展示字段结构。</x:v>
      </x:c>
    </x:row>
    <x:row r="3">
      <x:c r="A3" s="62" t="str">
        <x:v>EU-BAT-2023-1542</x:v>
      </x:c>
      <x:c r="B3" s="62" t="str">
        <x:v>Regulation (EU) 2023/1542 of the European Parliament and of the Council of 12 July 2023 concerning batteries and waste batteries</x:v>
      </x:c>
      <x:c r="C3" s="62" t="str">
        <x:v>欧盟电池和废电池法规</x:v>
      </x:c>
      <x:c r="D3" s="62" t="str">
        <x:v>Regulation (EU) 2023/1542</x:v>
      </x:c>
      <x:c r="E3" s="62" t="str">
        <x:v>EU</x:v>
      </x:c>
      <x:c r="F3" s="62" t="str">
        <x:v>European Union</x:v>
      </x:c>
      <x:c r="G3" s="62" t="str"/>
      <x:c r="H3" s="62" t="str">
        <x:v>European Parliament and Council</x:v>
      </x:c>
      <x:c r="I3" s="62" t="str">
        <x:v>Regulation</x:v>
      </x:c>
      <x:c r="J3" s="62" t="str">
        <x:v>In force</x:v>
      </x:c>
      <x:c r="K3" s="62" t="str">
        <x:v>2023-07-28</x:v>
      </x:c>
      <x:c r="L3" s="62" t="str"/>
      <x:c r="M3" s="62" t="str"/>
      <x:c r="N3" s="62" t="str"/>
      <x:c r="O3" s="62" t="str">
        <x:v>Batteries</x:v>
      </x:c>
      <x:c r="P3" s="62" t="str">
        <x:v>Batteries &amp; Chargers</x:v>
      </x:c>
      <x:c r="Q3" s="62" t="str">
        <x:v>High</x:v>
      </x:c>
      <x:c r="R3" s="62" t="str">
        <x:v>示例记录：涉及电池可持续性、安全、标签、信息、生产者责任和废电池管理等要求。</x:v>
      </x:c>
      <x:c r="S3" s="62" t="str">
        <x:v>对科瓴无线吸尘器、园林工具、电池包和充电器业务具有直接影响，需进一步按电池类别和适用日期拆解。</x:v>
      </x:c>
      <x:c r="T3" s="62" t="str">
        <x:v>https://eur-lex.europa.eu/eli/reg/2023/1542/oj/eng</x:v>
      </x:c>
      <x:c r="U3" s="62" t="str"/>
      <x:c r="V3" s="62" t="str">
        <x:v>EUR-Lex</x:v>
      </x:c>
      <x:c r="W3" s="62" t="str">
        <x:v>A</x:v>
      </x:c>
      <x:c r="X3" s="62" t="str">
        <x:v>2026-07-14</x:v>
      </x:c>
      <x:c r="Y3" s="62" t="str">
        <x:v>Template Example</x:v>
      </x:c>
      <x:c r="Z3" s="62" t="str">
        <x:v>1</x:v>
      </x:c>
      <x:c r="AA3" s="62" t="str">
        <x:v>Approved Example</x:v>
      </x:c>
      <x:c r="AB3" s="62" t="str">
        <x:v>示例数据，仅用于展示字段结构。</x:v>
      </x:c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2"/>
      <x:c r="AB4" s="62"/>
    </x:row>
    <x:row r="5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  <x:c r="AA5" s="62"/>
      <x:c r="AB5" s="62"/>
    </x:row>
    <x:row r="6">
      <x:c r="A6" s="62"/>
      <x:c r="B6" s="6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  <x:c r="AA6" s="62"/>
      <x:c r="AB6" s="62"/>
    </x:row>
    <x:row r="7">
      <x:c r="A7" s="62"/>
      <x:c r="B7" s="62"/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  <x:c r="AA7" s="62"/>
      <x:c r="AB7" s="62"/>
    </x:row>
    <x:row r="8">
      <x:c r="A8" s="62"/>
      <x:c r="B8" s="62"/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  <x:c r="AA8" s="62"/>
      <x:c r="AB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  <x:c r="AA9" s="62"/>
      <x:c r="AB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  <x:c r="AA10" s="62"/>
      <x:c r="AB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  <x:c r="AA11" s="62"/>
      <x:c r="AB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  <x:c r="AA12" s="62"/>
      <x:c r="AB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  <x:c r="AA13" s="62"/>
      <x:c r="AB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  <x:c r="AA14" s="62"/>
      <x:c r="AB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  <x:c r="AA15" s="62"/>
      <x:c r="AB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  <x:c r="AA16" s="62"/>
      <x:c r="AB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  <x:c r="AA17" s="62"/>
      <x:c r="AB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  <x:c r="AA18" s="62"/>
      <x:c r="AB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  <x:c r="AA19" s="62"/>
      <x:c r="AB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  <x:c r="AA20" s="62"/>
      <x:c r="AB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  <x:c r="AA21" s="62"/>
      <x:c r="AB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  <x:c r="AA22" s="62"/>
      <x:c r="AB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  <x:c r="AA23" s="62"/>
      <x:c r="AB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  <x:c r="AA24" s="62"/>
      <x:c r="AB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  <x:c r="AA25" s="62"/>
      <x:c r="AB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  <x:c r="AA26" s="62"/>
      <x:c r="AB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  <x:c r="AA27" s="62"/>
      <x:c r="AB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  <x:c r="AA28" s="62"/>
      <x:c r="AB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  <x:c r="AA29" s="62"/>
      <x:c r="AB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  <x:c r="AA30" s="62"/>
      <x:c r="AB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  <x:c r="AA31" s="62"/>
      <x:c r="AB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  <x:c r="AA32" s="62"/>
      <x:c r="AB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  <x:c r="AA33" s="62"/>
      <x:c r="AB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  <x:c r="AA34" s="62"/>
      <x:c r="AB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  <x:c r="AA35" s="62"/>
      <x:c r="AB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  <x:c r="AA36" s="62"/>
      <x:c r="AB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  <x:c r="AA37" s="62"/>
      <x:c r="AB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  <x:c r="AA38" s="62"/>
      <x:c r="AB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  <x:c r="AA39" s="62"/>
      <x:c r="AB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  <x:c r="AA40" s="62"/>
      <x:c r="AB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  <x:c r="AA41" s="62"/>
      <x:c r="AB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  <x:c r="AA42" s="62"/>
      <x:c r="AB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  <x:c r="AA43" s="62"/>
      <x:c r="AB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  <x:c r="AA44" s="62"/>
      <x:c r="AB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  <x:c r="AA45" s="62"/>
      <x:c r="AB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  <x:c r="AA46" s="62"/>
      <x:c r="AB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  <x:c r="AA47" s="62"/>
      <x:c r="AB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  <x:c r="AA48" s="62"/>
      <x:c r="AB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  <x:c r="AA49" s="62"/>
      <x:c r="AB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  <x:c r="AA50" s="62"/>
      <x:c r="AB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  <x:c r="AA51" s="62"/>
      <x:c r="AB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  <x:c r="AA52" s="62"/>
      <x:c r="AB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  <x:c r="AA53" s="62"/>
      <x:c r="AB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  <x:c r="AA54" s="62"/>
      <x:c r="AB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  <x:c r="AA55" s="62"/>
      <x:c r="AB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  <x:c r="AA56" s="62"/>
      <x:c r="AB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  <x:c r="AA57" s="62"/>
      <x:c r="AB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  <x:c r="AA58" s="62"/>
      <x:c r="AB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  <x:c r="AA59" s="62"/>
      <x:c r="AB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  <x:c r="AA60" s="62"/>
      <x:c r="AB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  <x:c r="AA61" s="62"/>
      <x:c r="AB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  <x:c r="AA62" s="62"/>
      <x:c r="AB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  <x:c r="AA63" s="62"/>
      <x:c r="AB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  <x:c r="AA64" s="62"/>
      <x:c r="AB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  <x:c r="AA65" s="62"/>
      <x:c r="AB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  <x:c r="AA66" s="62"/>
      <x:c r="AB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  <x:c r="AA67" s="62"/>
      <x:c r="AB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  <x:c r="AA68" s="62"/>
      <x:c r="AB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  <x:c r="AA69" s="62"/>
      <x:c r="AB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  <x:c r="AA70" s="62"/>
      <x:c r="AB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  <x:c r="AA71" s="62"/>
      <x:c r="AB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  <x:c r="AA72" s="62"/>
      <x:c r="AB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  <x:c r="AA73" s="62"/>
      <x:c r="AB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  <x:c r="AA74" s="62"/>
      <x:c r="AB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  <x:c r="AA75" s="62"/>
      <x:c r="AB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  <x:c r="AA76" s="62"/>
      <x:c r="AB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  <x:c r="AA77" s="62"/>
      <x:c r="AB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  <x:c r="AA78" s="62"/>
      <x:c r="AB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  <x:c r="AA79" s="62"/>
      <x:c r="AB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  <x:c r="AA80" s="62"/>
      <x:c r="AB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  <x:c r="AA81" s="62"/>
      <x:c r="AB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  <x:c r="AA82" s="62"/>
      <x:c r="AB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  <x:c r="AA83" s="62"/>
      <x:c r="AB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  <x:c r="AA84" s="62"/>
      <x:c r="AB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  <x:c r="AA85" s="62"/>
      <x:c r="AB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  <x:c r="AA86" s="62"/>
      <x:c r="AB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  <x:c r="AA87" s="62"/>
      <x:c r="AB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  <x:c r="AA88" s="62"/>
      <x:c r="AB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  <x:c r="AA89" s="62"/>
      <x:c r="AB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  <x:c r="AA90" s="62"/>
      <x:c r="AB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  <x:c r="AA91" s="62"/>
      <x:c r="AB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  <x:c r="AA92" s="62"/>
      <x:c r="AB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  <x:c r="AA93" s="62"/>
      <x:c r="AB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  <x:c r="AA94" s="62"/>
      <x:c r="AB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  <x:c r="AA95" s="62"/>
      <x:c r="AB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  <x:c r="AA96" s="62"/>
      <x:c r="AB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  <x:c r="AA97" s="62"/>
      <x:c r="AB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  <x:c r="AA98" s="62"/>
      <x:c r="AB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  <x:c r="AA99" s="62"/>
      <x:c r="AB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  <x:c r="AA100" s="62"/>
      <x:c r="AB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  <x:c r="AA101" s="62"/>
      <x:c r="AB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  <x:c r="AA102" s="62"/>
      <x:c r="AB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  <x:c r="AA103" s="62"/>
      <x:c r="AB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  <x:c r="AA104" s="62"/>
      <x:c r="AB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  <x:c r="AA105" s="62"/>
      <x:c r="AB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  <x:c r="AA106" s="62"/>
      <x:c r="AB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  <x:c r="AA107" s="62"/>
      <x:c r="AB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  <x:c r="AA108" s="62"/>
      <x:c r="AB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  <x:c r="AA109" s="62"/>
      <x:c r="AB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  <x:c r="AA110" s="62"/>
      <x:c r="AB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  <x:c r="AA111" s="62"/>
      <x:c r="AB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  <x:c r="AA112" s="62"/>
      <x:c r="AB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  <x:c r="AA113" s="62"/>
      <x:c r="AB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  <x:c r="AA114" s="62"/>
      <x:c r="AB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  <x:c r="AA115" s="62"/>
      <x:c r="AB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  <x:c r="AA116" s="62"/>
      <x:c r="AB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  <x:c r="AA117" s="62"/>
      <x:c r="AB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  <x:c r="AA118" s="62"/>
      <x:c r="AB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  <x:c r="AA119" s="62"/>
      <x:c r="AB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  <x:c r="AA120" s="62"/>
      <x:c r="AB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  <x:c r="AA121" s="62"/>
      <x:c r="AB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  <x:c r="AA122" s="62"/>
      <x:c r="AB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  <x:c r="AA123" s="62"/>
      <x:c r="AB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  <x:c r="AA124" s="62"/>
      <x:c r="AB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  <x:c r="AA125" s="62"/>
      <x:c r="AB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  <x:c r="AA126" s="62"/>
      <x:c r="AB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  <x:c r="AA127" s="62"/>
      <x:c r="AB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  <x:c r="AA128" s="62"/>
      <x:c r="AB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  <x:c r="AA129" s="62"/>
      <x:c r="AB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  <x:c r="AA130" s="62"/>
      <x:c r="AB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  <x:c r="AA131" s="62"/>
      <x:c r="AB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  <x:c r="AA132" s="62"/>
      <x:c r="AB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  <x:c r="AA133" s="62"/>
      <x:c r="AB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  <x:c r="AA134" s="62"/>
      <x:c r="AB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  <x:c r="AA135" s="62"/>
      <x:c r="AB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  <x:c r="AA136" s="62"/>
      <x:c r="AB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  <x:c r="AA137" s="62"/>
      <x:c r="AB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  <x:c r="AA138" s="62"/>
      <x:c r="AB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  <x:c r="AA139" s="62"/>
      <x:c r="AB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  <x:c r="AA140" s="62"/>
      <x:c r="AB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  <x:c r="AA141" s="62"/>
      <x:c r="AB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  <x:c r="AA142" s="62"/>
      <x:c r="AB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  <x:c r="AA143" s="62"/>
      <x:c r="AB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  <x:c r="AA144" s="62"/>
      <x:c r="AB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  <x:c r="AA145" s="62"/>
      <x:c r="AB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  <x:c r="AA146" s="62"/>
      <x:c r="AB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  <x:c r="AA147" s="62"/>
      <x:c r="AB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  <x:c r="AA148" s="62"/>
      <x:c r="AB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  <x:c r="AA149" s="62"/>
      <x:c r="AB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  <x:c r="AA150" s="62"/>
      <x:c r="AB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  <x:c r="AA151" s="62"/>
      <x:c r="AB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  <x:c r="AA152" s="62"/>
      <x:c r="AB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  <x:c r="AA153" s="62"/>
      <x:c r="AB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  <x:c r="AA154" s="62"/>
      <x:c r="AB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  <x:c r="AA155" s="62"/>
      <x:c r="AB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  <x:c r="AA156" s="62"/>
      <x:c r="AB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  <x:c r="AA157" s="62"/>
      <x:c r="AB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  <x:c r="AA158" s="62"/>
      <x:c r="AB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  <x:c r="AA159" s="62"/>
      <x:c r="AB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  <x:c r="AA160" s="62"/>
      <x:c r="AB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  <x:c r="AA161" s="62"/>
      <x:c r="AB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  <x:c r="AA162" s="62"/>
      <x:c r="AB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  <x:c r="AA163" s="62"/>
      <x:c r="AB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  <x:c r="AA164" s="62"/>
      <x:c r="AB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  <x:c r="AA165" s="62"/>
      <x:c r="AB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  <x:c r="AA166" s="62"/>
      <x:c r="AB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  <x:c r="AA167" s="62"/>
      <x:c r="AB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  <x:c r="AA168" s="62"/>
      <x:c r="AB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  <x:c r="AA169" s="62"/>
      <x:c r="AB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  <x:c r="AA170" s="62"/>
      <x:c r="AB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  <x:c r="AA171" s="62"/>
      <x:c r="AB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  <x:c r="AA172" s="62"/>
      <x:c r="AB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  <x:c r="AA173" s="62"/>
      <x:c r="AB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  <x:c r="AA174" s="62"/>
      <x:c r="AB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  <x:c r="AA175" s="62"/>
      <x:c r="AB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  <x:c r="AA176" s="62"/>
      <x:c r="AB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  <x:c r="AA177" s="62"/>
      <x:c r="AB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  <x:c r="AA178" s="62"/>
      <x:c r="AB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  <x:c r="AA179" s="62"/>
      <x:c r="AB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  <x:c r="AA180" s="62"/>
      <x:c r="AB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  <x:c r="AA181" s="62"/>
      <x:c r="AB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  <x:c r="AA182" s="62"/>
      <x:c r="AB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  <x:c r="AA183" s="62"/>
      <x:c r="AB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  <x:c r="AA184" s="62"/>
      <x:c r="AB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  <x:c r="AA185" s="62"/>
      <x:c r="AB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  <x:c r="AA186" s="62"/>
      <x:c r="AB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  <x:c r="AA187" s="62"/>
      <x:c r="AB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  <x:c r="AA188" s="62"/>
      <x:c r="AB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  <x:c r="AA189" s="62"/>
      <x:c r="AB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  <x:c r="AA190" s="62"/>
      <x:c r="AB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  <x:c r="AA191" s="62"/>
      <x:c r="AB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  <x:c r="AA192" s="62"/>
      <x:c r="AB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  <x:c r="AA193" s="62"/>
      <x:c r="AB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  <x:c r="AA194" s="62"/>
      <x:c r="AB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  <x:c r="AA195" s="62"/>
      <x:c r="AB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  <x:c r="AA196" s="62"/>
      <x:c r="AB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  <x:c r="AA197" s="62"/>
      <x:c r="AB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  <x:c r="AA198" s="62"/>
      <x:c r="AB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  <x:c r="AA199" s="62"/>
      <x:c r="AB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  <x:c r="AA200" s="62"/>
      <x:c r="AB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  <x:c r="AA201" s="62"/>
      <x:c r="AB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  <x:c r="AA202" s="62"/>
      <x:c r="AB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  <x:c r="AA203" s="62"/>
      <x:c r="AB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  <x:c r="AA204" s="62"/>
      <x:c r="AB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  <x:c r="AA205" s="62"/>
      <x:c r="AB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  <x:c r="AA206" s="62"/>
      <x:c r="AB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  <x:c r="AA207" s="62"/>
      <x:c r="AB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  <x:c r="AA208" s="62"/>
      <x:c r="AB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  <x:c r="AA209" s="62"/>
      <x:c r="AB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  <x:c r="AA210" s="62"/>
      <x:c r="AB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  <x:c r="AA211" s="62"/>
      <x:c r="AB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  <x:c r="AA212" s="62"/>
      <x:c r="AB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  <x:c r="AA213" s="62"/>
      <x:c r="AB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  <x:c r="AA214" s="62"/>
      <x:c r="AB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  <x:c r="AA215" s="62"/>
      <x:c r="AB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  <x:c r="AA216" s="62"/>
      <x:c r="AB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  <x:c r="AA217" s="62"/>
      <x:c r="AB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  <x:c r="AA218" s="62"/>
      <x:c r="AB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  <x:c r="AA219" s="62"/>
      <x:c r="AB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  <x:c r="AA220" s="62"/>
      <x:c r="AB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  <x:c r="AA221" s="62"/>
      <x:c r="AB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  <x:c r="AA222" s="62"/>
      <x:c r="AB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  <x:c r="AA223" s="62"/>
      <x:c r="AB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  <x:c r="AA224" s="62"/>
      <x:c r="AB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  <x:c r="AA225" s="62"/>
      <x:c r="AB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  <x:c r="AA226" s="62"/>
      <x:c r="AB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  <x:c r="AA227" s="62"/>
      <x:c r="AB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  <x:c r="AA228" s="62"/>
      <x:c r="AB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  <x:c r="AA229" s="62"/>
      <x:c r="AB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  <x:c r="AA230" s="62"/>
      <x:c r="AB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  <x:c r="AA231" s="62"/>
      <x:c r="AB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  <x:c r="AA232" s="62"/>
      <x:c r="AB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  <x:c r="AA233" s="62"/>
      <x:c r="AB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  <x:c r="AA234" s="62"/>
      <x:c r="AB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  <x:c r="AA235" s="62"/>
      <x:c r="AB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  <x:c r="AA236" s="62"/>
      <x:c r="AB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  <x:c r="AA237" s="62"/>
      <x:c r="AB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  <x:c r="AA238" s="62"/>
      <x:c r="AB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  <x:c r="AA239" s="62"/>
      <x:c r="AB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  <x:c r="AA240" s="62"/>
      <x:c r="AB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  <x:c r="AA241" s="62"/>
      <x:c r="AB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  <x:c r="AA242" s="62"/>
      <x:c r="AB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  <x:c r="AA243" s="62"/>
      <x:c r="AB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  <x:c r="AA244" s="62"/>
      <x:c r="AB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  <x:c r="AA245" s="62"/>
      <x:c r="AB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  <x:c r="AA246" s="62"/>
      <x:c r="AB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  <x:c r="AA247" s="62"/>
      <x:c r="AB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  <x:c r="AA248" s="62"/>
      <x:c r="AB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  <x:c r="AA249" s="62"/>
      <x:c r="AB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  <x:c r="AA250" s="62"/>
      <x:c r="AB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  <x:c r="AA251" s="62"/>
      <x:c r="AB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  <x:c r="AA252" s="62"/>
      <x:c r="AB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  <x:c r="AA253" s="62"/>
      <x:c r="AB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  <x:c r="AA254" s="62"/>
      <x:c r="AB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  <x:c r="AA255" s="62"/>
      <x:c r="AB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  <x:c r="AA256" s="62"/>
      <x:c r="AB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  <x:c r="AA257" s="62"/>
      <x:c r="AB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  <x:c r="AA258" s="62"/>
      <x:c r="AB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  <x:c r="AA259" s="62"/>
      <x:c r="AB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  <x:c r="AA260" s="62"/>
      <x:c r="AB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  <x:c r="AA261" s="62"/>
      <x:c r="AB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  <x:c r="AA262" s="62"/>
      <x:c r="AB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  <x:c r="AA263" s="62"/>
      <x:c r="AB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  <x:c r="AA264" s="62"/>
      <x:c r="AB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  <x:c r="AA265" s="62"/>
      <x:c r="AB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  <x:c r="AA266" s="62"/>
      <x:c r="AB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  <x:c r="AA267" s="62"/>
      <x:c r="AB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  <x:c r="AA268" s="62"/>
      <x:c r="AB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  <x:c r="AA269" s="62"/>
      <x:c r="AB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  <x:c r="AA270" s="62"/>
      <x:c r="AB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  <x:c r="AA271" s="62"/>
      <x:c r="AB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  <x:c r="AA272" s="62"/>
      <x:c r="AB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  <x:c r="AA273" s="62"/>
      <x:c r="AB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  <x:c r="AA274" s="62"/>
      <x:c r="AB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  <x:c r="AA275" s="62"/>
      <x:c r="AB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  <x:c r="AA276" s="62"/>
      <x:c r="AB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  <x:c r="AA277" s="62"/>
      <x:c r="AB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  <x:c r="AA278" s="62"/>
      <x:c r="AB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  <x:c r="AA279" s="62"/>
      <x:c r="AB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  <x:c r="AA280" s="62"/>
      <x:c r="AB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  <x:c r="AA281" s="62"/>
      <x:c r="AB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  <x:c r="AA282" s="62"/>
      <x:c r="AB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  <x:c r="AA283" s="62"/>
      <x:c r="AB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  <x:c r="AA284" s="62"/>
      <x:c r="AB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  <x:c r="AA285" s="62"/>
      <x:c r="AB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  <x:c r="AA286" s="62"/>
      <x:c r="AB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  <x:c r="AA287" s="62"/>
      <x:c r="AB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  <x:c r="AA288" s="62"/>
      <x:c r="AB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  <x:c r="AA289" s="62"/>
      <x:c r="AB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  <x:c r="AA290" s="62"/>
      <x:c r="AB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  <x:c r="AA291" s="62"/>
      <x:c r="AB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  <x:c r="AA292" s="62"/>
      <x:c r="AB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  <x:c r="AA293" s="62"/>
      <x:c r="AB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  <x:c r="AA294" s="62"/>
      <x:c r="AB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  <x:c r="AA295" s="62"/>
      <x:c r="AB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  <x:c r="AA296" s="62"/>
      <x:c r="AB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  <x:c r="AA297" s="62"/>
      <x:c r="AB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  <x:c r="AA298" s="62"/>
      <x:c r="AB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  <x:c r="AA299" s="62"/>
      <x:c r="AB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  <x:c r="AA300" s="62"/>
      <x:c r="AB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  <x:c r="AA301" s="62"/>
      <x:c r="AB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  <x:c r="AA302" s="62"/>
      <x:c r="AB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  <x:c r="AA303" s="62"/>
      <x:c r="AB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  <x:c r="AA304" s="62"/>
      <x:c r="AB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  <x:c r="AA305" s="62"/>
      <x:c r="AB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  <x:c r="AA306" s="62"/>
      <x:c r="AB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  <x:c r="AA307" s="62"/>
      <x:c r="AB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  <x:c r="AA308" s="62"/>
      <x:c r="AB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  <x:c r="AA309" s="62"/>
      <x:c r="AB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  <x:c r="AA310" s="62"/>
      <x:c r="AB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  <x:c r="AA311" s="62"/>
      <x:c r="AB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  <x:c r="AA312" s="62"/>
      <x:c r="AB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  <x:c r="AA313" s="62"/>
      <x:c r="AB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  <x:c r="AA314" s="62"/>
      <x:c r="AB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  <x:c r="AA315" s="62"/>
      <x:c r="AB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  <x:c r="AA316" s="62"/>
      <x:c r="AB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  <x:c r="AA317" s="62"/>
      <x:c r="AB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  <x:c r="AA318" s="62"/>
      <x:c r="AB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  <x:c r="AA319" s="62"/>
      <x:c r="AB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  <x:c r="AA320" s="62"/>
      <x:c r="AB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  <x:c r="AA321" s="62"/>
      <x:c r="AB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  <x:c r="AA322" s="62"/>
      <x:c r="AB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  <x:c r="AA323" s="62"/>
      <x:c r="AB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  <x:c r="AA324" s="62"/>
      <x:c r="AB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  <x:c r="AA325" s="62"/>
      <x:c r="AB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  <x:c r="AA326" s="62"/>
      <x:c r="AB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  <x:c r="AA327" s="62"/>
      <x:c r="AB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  <x:c r="AA328" s="62"/>
      <x:c r="AB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  <x:c r="AA329" s="62"/>
      <x:c r="AB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  <x:c r="AA330" s="62"/>
      <x:c r="AB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  <x:c r="AA331" s="62"/>
      <x:c r="AB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  <x:c r="AA332" s="62"/>
      <x:c r="AB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  <x:c r="AA333" s="62"/>
      <x:c r="AB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  <x:c r="AA334" s="62"/>
      <x:c r="AB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  <x:c r="AA335" s="62"/>
      <x:c r="AB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  <x:c r="AA336" s="62"/>
      <x:c r="AB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  <x:c r="AA337" s="62"/>
      <x:c r="AB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  <x:c r="AA338" s="62"/>
      <x:c r="AB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  <x:c r="AA339" s="62"/>
      <x:c r="AB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  <x:c r="AA340" s="62"/>
      <x:c r="AB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  <x:c r="AA341" s="62"/>
      <x:c r="AB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  <x:c r="AA342" s="62"/>
      <x:c r="AB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  <x:c r="AA343" s="62"/>
      <x:c r="AB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  <x:c r="AA344" s="62"/>
      <x:c r="AB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  <x:c r="AA345" s="62"/>
      <x:c r="AB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  <x:c r="AA346" s="62"/>
      <x:c r="AB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  <x:c r="AA347" s="62"/>
      <x:c r="AB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  <x:c r="AA348" s="62"/>
      <x:c r="AB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  <x:c r="AA349" s="62"/>
      <x:c r="AB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  <x:c r="AA350" s="62"/>
      <x:c r="AB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  <x:c r="AA351" s="62"/>
      <x:c r="AB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  <x:c r="AA352" s="62"/>
      <x:c r="AB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  <x:c r="AA353" s="62"/>
      <x:c r="AB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  <x:c r="AA354" s="62"/>
      <x:c r="AB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  <x:c r="AA355" s="62"/>
      <x:c r="AB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  <x:c r="AA356" s="62"/>
      <x:c r="AB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  <x:c r="AA357" s="62"/>
      <x:c r="AB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  <x:c r="AA358" s="62"/>
      <x:c r="AB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  <x:c r="AA359" s="62"/>
      <x:c r="AB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  <x:c r="AA360" s="62"/>
      <x:c r="AB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  <x:c r="AA361" s="62"/>
      <x:c r="AB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  <x:c r="AA362" s="62"/>
      <x:c r="AB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  <x:c r="AA363" s="62"/>
      <x:c r="AB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  <x:c r="AA364" s="62"/>
      <x:c r="AB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  <x:c r="AA365" s="62"/>
      <x:c r="AB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  <x:c r="AA366" s="62"/>
      <x:c r="AB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  <x:c r="AA367" s="62"/>
      <x:c r="AB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  <x:c r="AA368" s="62"/>
      <x:c r="AB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  <x:c r="AA369" s="62"/>
      <x:c r="AB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  <x:c r="AA370" s="62"/>
      <x:c r="AB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  <x:c r="AA371" s="62"/>
      <x:c r="AB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  <x:c r="AA372" s="62"/>
      <x:c r="AB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  <x:c r="AA373" s="62"/>
      <x:c r="AB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  <x:c r="AA374" s="62"/>
      <x:c r="AB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  <x:c r="AA375" s="62"/>
      <x:c r="AB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  <x:c r="AA376" s="62"/>
      <x:c r="AB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  <x:c r="AA377" s="62"/>
      <x:c r="AB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  <x:c r="AA378" s="62"/>
      <x:c r="AB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  <x:c r="AA379" s="62"/>
      <x:c r="AB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  <x:c r="AA380" s="62"/>
      <x:c r="AB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  <x:c r="AA381" s="62"/>
      <x:c r="AB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  <x:c r="AA382" s="62"/>
      <x:c r="AB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  <x:c r="AA383" s="62"/>
      <x:c r="AB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  <x:c r="AA384" s="62"/>
      <x:c r="AB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  <x:c r="AA385" s="62"/>
      <x:c r="AB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  <x:c r="AA386" s="62"/>
      <x:c r="AB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  <x:c r="AA387" s="62"/>
      <x:c r="AB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  <x:c r="AA388" s="62"/>
      <x:c r="AB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  <x:c r="AA389" s="62"/>
      <x:c r="AB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  <x:c r="AA390" s="62"/>
      <x:c r="AB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  <x:c r="AA391" s="62"/>
      <x:c r="AB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  <x:c r="AA392" s="62"/>
      <x:c r="AB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  <x:c r="AA393" s="62"/>
      <x:c r="AB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  <x:c r="AA394" s="62"/>
      <x:c r="AB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  <x:c r="AA395" s="62"/>
      <x:c r="AB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  <x:c r="AA396" s="62"/>
      <x:c r="AB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  <x:c r="AA397" s="62"/>
      <x:c r="AB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  <x:c r="AA398" s="62"/>
      <x:c r="AB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  <x:c r="AA399" s="62"/>
      <x:c r="AB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  <x:c r="AA400" s="62"/>
      <x:c r="AB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  <x:c r="AA401" s="62"/>
      <x:c r="AB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  <x:c r="AA402" s="62"/>
      <x:c r="AB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  <x:c r="AA403" s="62"/>
      <x:c r="AB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  <x:c r="AA404" s="62"/>
      <x:c r="AB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  <x:c r="AA405" s="62"/>
      <x:c r="AB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  <x:c r="AA406" s="62"/>
      <x:c r="AB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  <x:c r="AA407" s="62"/>
      <x:c r="AB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  <x:c r="AA408" s="62"/>
      <x:c r="AB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  <x:c r="AA409" s="62"/>
      <x:c r="AB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  <x:c r="AA410" s="62"/>
      <x:c r="AB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  <x:c r="AA411" s="62"/>
      <x:c r="AB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  <x:c r="AA412" s="62"/>
      <x:c r="AB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  <x:c r="AA413" s="62"/>
      <x:c r="AB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  <x:c r="AA414" s="62"/>
      <x:c r="AB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  <x:c r="AA415" s="62"/>
      <x:c r="AB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  <x:c r="AA416" s="62"/>
      <x:c r="AB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  <x:c r="AA417" s="62"/>
      <x:c r="AB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  <x:c r="AA418" s="62"/>
      <x:c r="AB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  <x:c r="AA419" s="62"/>
      <x:c r="AB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  <x:c r="AA420" s="62"/>
      <x:c r="AB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  <x:c r="AA421" s="62"/>
      <x:c r="AB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  <x:c r="AA422" s="62"/>
      <x:c r="AB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  <x:c r="AA423" s="62"/>
      <x:c r="AB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  <x:c r="AA424" s="62"/>
      <x:c r="AB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  <x:c r="AA425" s="62"/>
      <x:c r="AB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  <x:c r="AA426" s="62"/>
      <x:c r="AB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  <x:c r="AA427" s="62"/>
      <x:c r="AB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  <x:c r="AA428" s="62"/>
      <x:c r="AB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  <x:c r="AA429" s="62"/>
      <x:c r="AB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  <x:c r="AA430" s="62"/>
      <x:c r="AB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  <x:c r="AA431" s="62"/>
      <x:c r="AB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  <x:c r="AA432" s="62"/>
      <x:c r="AB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  <x:c r="AA433" s="62"/>
      <x:c r="AB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  <x:c r="AA434" s="62"/>
      <x:c r="AB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  <x:c r="AA435" s="62"/>
      <x:c r="AB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  <x:c r="AA436" s="62"/>
      <x:c r="AB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  <x:c r="AA437" s="62"/>
      <x:c r="AB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  <x:c r="AA438" s="62"/>
      <x:c r="AB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  <x:c r="AA439" s="62"/>
      <x:c r="AB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  <x:c r="AA440" s="62"/>
      <x:c r="AB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  <x:c r="AA441" s="62"/>
      <x:c r="AB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  <x:c r="AA442" s="62"/>
      <x:c r="AB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  <x:c r="AA443" s="62"/>
      <x:c r="AB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  <x:c r="AA444" s="62"/>
      <x:c r="AB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  <x:c r="AA445" s="62"/>
      <x:c r="AB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  <x:c r="AA446" s="62"/>
      <x:c r="AB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  <x:c r="AA447" s="62"/>
      <x:c r="AB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  <x:c r="AA448" s="62"/>
      <x:c r="AB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  <x:c r="AA449" s="62"/>
      <x:c r="AB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  <x:c r="AA450" s="62"/>
      <x:c r="AB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  <x:c r="AA451" s="62"/>
      <x:c r="AB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  <x:c r="AA452" s="62"/>
      <x:c r="AB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  <x:c r="AA453" s="62"/>
      <x:c r="AB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  <x:c r="AA454" s="62"/>
      <x:c r="AB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  <x:c r="AA455" s="62"/>
      <x:c r="AB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  <x:c r="AA456" s="62"/>
      <x:c r="AB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  <x:c r="AA457" s="62"/>
      <x:c r="AB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  <x:c r="AA458" s="62"/>
      <x:c r="AB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  <x:c r="AA459" s="62"/>
      <x:c r="AB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  <x:c r="AA460" s="62"/>
      <x:c r="AB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  <x:c r="AA461" s="62"/>
      <x:c r="AB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  <x:c r="AA462" s="62"/>
      <x:c r="AB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  <x:c r="AA463" s="62"/>
      <x:c r="AB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  <x:c r="AA464" s="62"/>
      <x:c r="AB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  <x:c r="AA465" s="62"/>
      <x:c r="AB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  <x:c r="AA466" s="62"/>
      <x:c r="AB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  <x:c r="AA467" s="62"/>
      <x:c r="AB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  <x:c r="AA468" s="62"/>
      <x:c r="AB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  <x:c r="AA469" s="62"/>
      <x:c r="AB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  <x:c r="AA470" s="62"/>
      <x:c r="AB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  <x:c r="AA471" s="62"/>
      <x:c r="AB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  <x:c r="AA472" s="62"/>
      <x:c r="AB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  <x:c r="AA473" s="62"/>
      <x:c r="AB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  <x:c r="AA474" s="62"/>
      <x:c r="AB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  <x:c r="AA475" s="62"/>
      <x:c r="AB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  <x:c r="AA476" s="62"/>
      <x:c r="AB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  <x:c r="AA477" s="62"/>
      <x:c r="AB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  <x:c r="AA478" s="62"/>
      <x:c r="AB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  <x:c r="AA479" s="62"/>
      <x:c r="AB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  <x:c r="AA480" s="62"/>
      <x:c r="AB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  <x:c r="AA481" s="62"/>
      <x:c r="AB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  <x:c r="AA482" s="62"/>
      <x:c r="AB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  <x:c r="AA483" s="62"/>
      <x:c r="AB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  <x:c r="AA484" s="62"/>
      <x:c r="AB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  <x:c r="AA485" s="62"/>
      <x:c r="AB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  <x:c r="AA486" s="62"/>
      <x:c r="AB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  <x:c r="AA487" s="62"/>
      <x:c r="AB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  <x:c r="AA488" s="62"/>
      <x:c r="AB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  <x:c r="AA489" s="62"/>
      <x:c r="AB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  <x:c r="AA490" s="62"/>
      <x:c r="AB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  <x:c r="AA491" s="62"/>
      <x:c r="AB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  <x:c r="AA492" s="62"/>
      <x:c r="AB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  <x:c r="AA493" s="62"/>
      <x:c r="AB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  <x:c r="AA494" s="62"/>
      <x:c r="AB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  <x:c r="AA495" s="62"/>
      <x:c r="AB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  <x:c r="AA496" s="62"/>
      <x:c r="AB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  <x:c r="AA497" s="62"/>
      <x:c r="AB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  <x:c r="AA498" s="62"/>
      <x:c r="AB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  <x:c r="AA499" s="62"/>
      <x:c r="AB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  <x:c r="AA500" s="62"/>
      <x:c r="AB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  <x:c r="AA501" s="62"/>
      <x:c r="AB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  <x:c r="AA502" s="62"/>
      <x:c r="AB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  <x:c r="AA503" s="62"/>
      <x:c r="AB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  <x:c r="AA504" s="62"/>
      <x:c r="AB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  <x:c r="AA505" s="62"/>
      <x:c r="AB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  <x:c r="AA506" s="62"/>
      <x:c r="AB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  <x:c r="AA507" s="62"/>
      <x:c r="AB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  <x:c r="AA508" s="62"/>
      <x:c r="AB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  <x:c r="AA509" s="62"/>
      <x:c r="AB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  <x:c r="AA510" s="62"/>
      <x:c r="AB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  <x:c r="AA511" s="62"/>
      <x:c r="AB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  <x:c r="AA512" s="62"/>
      <x:c r="AB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  <x:c r="AA513" s="62"/>
      <x:c r="AB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  <x:c r="AA514" s="62"/>
      <x:c r="AB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  <x:c r="AA515" s="62"/>
      <x:c r="AB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  <x:c r="AA516" s="62"/>
      <x:c r="AB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  <x:c r="AA517" s="62"/>
      <x:c r="AB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  <x:c r="AA518" s="62"/>
      <x:c r="AB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  <x:c r="AA519" s="62"/>
      <x:c r="AB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  <x:c r="AA520" s="62"/>
      <x:c r="AB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  <x:c r="AA521" s="62"/>
      <x:c r="AB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  <x:c r="AA522" s="62"/>
      <x:c r="AB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  <x:c r="AA523" s="62"/>
      <x:c r="AB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  <x:c r="AA524" s="62"/>
      <x:c r="AB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  <x:c r="AA525" s="62"/>
      <x:c r="AB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  <x:c r="AA526" s="62"/>
      <x:c r="AB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  <x:c r="AA527" s="62"/>
      <x:c r="AB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  <x:c r="AA528" s="62"/>
      <x:c r="AB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  <x:c r="AA529" s="62"/>
      <x:c r="AB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  <x:c r="AA530" s="62"/>
      <x:c r="AB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  <x:c r="AA531" s="62"/>
      <x:c r="AB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  <x:c r="AA532" s="62"/>
      <x:c r="AB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  <x:c r="AA533" s="62"/>
      <x:c r="AB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  <x:c r="AA534" s="62"/>
      <x:c r="AB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  <x:c r="AA535" s="62"/>
      <x:c r="AB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  <x:c r="AA536" s="62"/>
      <x:c r="AB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  <x:c r="AA537" s="62"/>
      <x:c r="AB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  <x:c r="AA538" s="62"/>
      <x:c r="AB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  <x:c r="AA539" s="62"/>
      <x:c r="AB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  <x:c r="AA540" s="62"/>
      <x:c r="AB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  <x:c r="AA541" s="62"/>
      <x:c r="AB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  <x:c r="AA542" s="62"/>
      <x:c r="AB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  <x:c r="AA543" s="62"/>
      <x:c r="AB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  <x:c r="AA544" s="62"/>
      <x:c r="AB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  <x:c r="AA545" s="62"/>
      <x:c r="AB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  <x:c r="AA546" s="62"/>
      <x:c r="AB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  <x:c r="AA547" s="62"/>
      <x:c r="AB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  <x:c r="AA548" s="62"/>
      <x:c r="AB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  <x:c r="AA549" s="62"/>
      <x:c r="AB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  <x:c r="AA550" s="62"/>
      <x:c r="AB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  <x:c r="AA551" s="62"/>
      <x:c r="AB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  <x:c r="AA552" s="62"/>
      <x:c r="AB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  <x:c r="AA553" s="62"/>
      <x:c r="AB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  <x:c r="AA554" s="62"/>
      <x:c r="AB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  <x:c r="AA555" s="62"/>
      <x:c r="AB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  <x:c r="AA556" s="62"/>
      <x:c r="AB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  <x:c r="AA557" s="62"/>
      <x:c r="AB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  <x:c r="AA558" s="62"/>
      <x:c r="AB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  <x:c r="AA559" s="62"/>
      <x:c r="AB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  <x:c r="AA560" s="62"/>
      <x:c r="AB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  <x:c r="AA561" s="62"/>
      <x:c r="AB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  <x:c r="AA562" s="62"/>
      <x:c r="AB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  <x:c r="AA563" s="62"/>
      <x:c r="AB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  <x:c r="AA564" s="62"/>
      <x:c r="AB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  <x:c r="AA565" s="62"/>
      <x:c r="AB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  <x:c r="AA566" s="62"/>
      <x:c r="AB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  <x:c r="AA567" s="62"/>
      <x:c r="AB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  <x:c r="AA568" s="62"/>
      <x:c r="AB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  <x:c r="AA569" s="62"/>
      <x:c r="AB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  <x:c r="AA570" s="62"/>
      <x:c r="AB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  <x:c r="AA571" s="62"/>
      <x:c r="AB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  <x:c r="AA572" s="62"/>
      <x:c r="AB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  <x:c r="AA573" s="62"/>
      <x:c r="AB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  <x:c r="AA574" s="62"/>
      <x:c r="AB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  <x:c r="AA575" s="62"/>
      <x:c r="AB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  <x:c r="AA576" s="62"/>
      <x:c r="AB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  <x:c r="AA577" s="62"/>
      <x:c r="AB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  <x:c r="AA578" s="62"/>
      <x:c r="AB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  <x:c r="AA579" s="62"/>
      <x:c r="AB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  <x:c r="AA580" s="62"/>
      <x:c r="AB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  <x:c r="AA581" s="62"/>
      <x:c r="AB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  <x:c r="AA582" s="62"/>
      <x:c r="AB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  <x:c r="AA583" s="62"/>
      <x:c r="AB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  <x:c r="AA584" s="62"/>
      <x:c r="AB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  <x:c r="AA585" s="62"/>
      <x:c r="AB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  <x:c r="AA586" s="62"/>
      <x:c r="AB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  <x:c r="AA587" s="62"/>
      <x:c r="AB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  <x:c r="AA588" s="62"/>
      <x:c r="AB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  <x:c r="AA589" s="62"/>
      <x:c r="AB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  <x:c r="AA590" s="62"/>
      <x:c r="AB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  <x:c r="AA591" s="62"/>
      <x:c r="AB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  <x:c r="AA592" s="62"/>
      <x:c r="AB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  <x:c r="AA593" s="62"/>
      <x:c r="AB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  <x:c r="AA594" s="62"/>
      <x:c r="AB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  <x:c r="AA595" s="62"/>
      <x:c r="AB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  <x:c r="AA596" s="62"/>
      <x:c r="AB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  <x:c r="AA597" s="62"/>
      <x:c r="AB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  <x:c r="AA598" s="62"/>
      <x:c r="AB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  <x:c r="AA599" s="62"/>
      <x:c r="AB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  <x:c r="AA600" s="62"/>
      <x:c r="AB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  <x:c r="AA601" s="62"/>
      <x:c r="AB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  <x:c r="AA602" s="62"/>
      <x:c r="AB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  <x:c r="AA603" s="62"/>
      <x:c r="AB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  <x:c r="AA604" s="62"/>
      <x:c r="AB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  <x:c r="AA605" s="62"/>
      <x:c r="AB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  <x:c r="AA606" s="62"/>
      <x:c r="AB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  <x:c r="AA607" s="62"/>
      <x:c r="AB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  <x:c r="AA608" s="62"/>
      <x:c r="AB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  <x:c r="AA609" s="62"/>
      <x:c r="AB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  <x:c r="AA610" s="62"/>
      <x:c r="AB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  <x:c r="AA611" s="62"/>
      <x:c r="AB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  <x:c r="AA612" s="62"/>
      <x:c r="AB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  <x:c r="AA613" s="62"/>
      <x:c r="AB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  <x:c r="AA614" s="62"/>
      <x:c r="AB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  <x:c r="AA615" s="62"/>
      <x:c r="AB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  <x:c r="AA616" s="62"/>
      <x:c r="AB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  <x:c r="AA617" s="62"/>
      <x:c r="AB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  <x:c r="AA618" s="62"/>
      <x:c r="AB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  <x:c r="AA619" s="62"/>
      <x:c r="AB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  <x:c r="AA620" s="62"/>
      <x:c r="AB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  <x:c r="AA621" s="62"/>
      <x:c r="AB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  <x:c r="AA622" s="62"/>
      <x:c r="AB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  <x:c r="AA623" s="62"/>
      <x:c r="AB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  <x:c r="AA624" s="62"/>
      <x:c r="AB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  <x:c r="AA625" s="62"/>
      <x:c r="AB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  <x:c r="AA626" s="62"/>
      <x:c r="AB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  <x:c r="AA627" s="62"/>
      <x:c r="AB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  <x:c r="AA628" s="62"/>
      <x:c r="AB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  <x:c r="AA629" s="62"/>
      <x:c r="AB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  <x:c r="AA630" s="62"/>
      <x:c r="AB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  <x:c r="AA631" s="62"/>
      <x:c r="AB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  <x:c r="AA632" s="62"/>
      <x:c r="AB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  <x:c r="AA633" s="62"/>
      <x:c r="AB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  <x:c r="AA634" s="62"/>
      <x:c r="AB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  <x:c r="AA635" s="62"/>
      <x:c r="AB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  <x:c r="AA636" s="62"/>
      <x:c r="AB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  <x:c r="AA637" s="62"/>
      <x:c r="AB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  <x:c r="AA638" s="62"/>
      <x:c r="AB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  <x:c r="AA639" s="62"/>
      <x:c r="AB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  <x:c r="AA640" s="62"/>
      <x:c r="AB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  <x:c r="AA641" s="62"/>
      <x:c r="AB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  <x:c r="AA642" s="62"/>
      <x:c r="AB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  <x:c r="AA643" s="62"/>
      <x:c r="AB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  <x:c r="AA644" s="62"/>
      <x:c r="AB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  <x:c r="AA645" s="62"/>
      <x:c r="AB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  <x:c r="AA646" s="62"/>
      <x:c r="AB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  <x:c r="AA647" s="62"/>
      <x:c r="AB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  <x:c r="AA648" s="62"/>
      <x:c r="AB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  <x:c r="AA649" s="62"/>
      <x:c r="AB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  <x:c r="AA650" s="62"/>
      <x:c r="AB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  <x:c r="AA651" s="62"/>
      <x:c r="AB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  <x:c r="AA652" s="62"/>
      <x:c r="AB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  <x:c r="AA653" s="62"/>
      <x:c r="AB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  <x:c r="AA654" s="62"/>
      <x:c r="AB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  <x:c r="AA655" s="62"/>
      <x:c r="AB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  <x:c r="AA656" s="62"/>
      <x:c r="AB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  <x:c r="AA657" s="62"/>
      <x:c r="AB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  <x:c r="AA658" s="62"/>
      <x:c r="AB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  <x:c r="AA659" s="62"/>
      <x:c r="AB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  <x:c r="AA660" s="62"/>
      <x:c r="AB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  <x:c r="AA661" s="62"/>
      <x:c r="AB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  <x:c r="AA662" s="62"/>
      <x:c r="AB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  <x:c r="AA663" s="62"/>
      <x:c r="AB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  <x:c r="AA664" s="62"/>
      <x:c r="AB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  <x:c r="AA665" s="62"/>
      <x:c r="AB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  <x:c r="AA666" s="62"/>
      <x:c r="AB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  <x:c r="AA667" s="62"/>
      <x:c r="AB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  <x:c r="AA668" s="62"/>
      <x:c r="AB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  <x:c r="AA669" s="62"/>
      <x:c r="AB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  <x:c r="AA670" s="62"/>
      <x:c r="AB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  <x:c r="AA671" s="62"/>
      <x:c r="AB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  <x:c r="AA672" s="62"/>
      <x:c r="AB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  <x:c r="AA673" s="62"/>
      <x:c r="AB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  <x:c r="AA674" s="62"/>
      <x:c r="AB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  <x:c r="AA675" s="62"/>
      <x:c r="AB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  <x:c r="AA676" s="62"/>
      <x:c r="AB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  <x:c r="AA677" s="62"/>
      <x:c r="AB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  <x:c r="AA678" s="62"/>
      <x:c r="AB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  <x:c r="AA679" s="62"/>
      <x:c r="AB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  <x:c r="AA680" s="62"/>
      <x:c r="AB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  <x:c r="AA681" s="62"/>
      <x:c r="AB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  <x:c r="AA682" s="62"/>
      <x:c r="AB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  <x:c r="AA683" s="62"/>
      <x:c r="AB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  <x:c r="AA684" s="62"/>
      <x:c r="AB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  <x:c r="AA685" s="62"/>
      <x:c r="AB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  <x:c r="AA686" s="62"/>
      <x:c r="AB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  <x:c r="AA687" s="62"/>
      <x:c r="AB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  <x:c r="AA688" s="62"/>
      <x:c r="AB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  <x:c r="AA689" s="62"/>
      <x:c r="AB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  <x:c r="AA690" s="62"/>
      <x:c r="AB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  <x:c r="AA691" s="62"/>
      <x:c r="AB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  <x:c r="AA692" s="62"/>
      <x:c r="AB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  <x:c r="AA693" s="62"/>
      <x:c r="AB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  <x:c r="AA694" s="62"/>
      <x:c r="AB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  <x:c r="AA695" s="62"/>
      <x:c r="AB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  <x:c r="AA696" s="62"/>
      <x:c r="AB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  <x:c r="AA697" s="62"/>
      <x:c r="AB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  <x:c r="AA698" s="62"/>
      <x:c r="AB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  <x:c r="AA699" s="62"/>
      <x:c r="AB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  <x:c r="AA700" s="62"/>
      <x:c r="AB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  <x:c r="AA701" s="62"/>
      <x:c r="AB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  <x:c r="AA702" s="62"/>
      <x:c r="AB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  <x:c r="AA703" s="62"/>
      <x:c r="AB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  <x:c r="AA704" s="62"/>
      <x:c r="AB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  <x:c r="AA705" s="62"/>
      <x:c r="AB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  <x:c r="AA706" s="62"/>
      <x:c r="AB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  <x:c r="AA707" s="62"/>
      <x:c r="AB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  <x:c r="AA708" s="62"/>
      <x:c r="AB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  <x:c r="AA709" s="62"/>
      <x:c r="AB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  <x:c r="AA710" s="62"/>
      <x:c r="AB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  <x:c r="AA711" s="62"/>
      <x:c r="AB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  <x:c r="AA712" s="62"/>
      <x:c r="AB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  <x:c r="AA713" s="62"/>
      <x:c r="AB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  <x:c r="AA714" s="62"/>
      <x:c r="AB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  <x:c r="AA715" s="62"/>
      <x:c r="AB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  <x:c r="AA716" s="62"/>
      <x:c r="AB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  <x:c r="AA717" s="62"/>
      <x:c r="AB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  <x:c r="AA718" s="62"/>
      <x:c r="AB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  <x:c r="AA719" s="62"/>
      <x:c r="AB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  <x:c r="AA720" s="62"/>
      <x:c r="AB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  <x:c r="AA721" s="62"/>
      <x:c r="AB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  <x:c r="AA722" s="62"/>
      <x:c r="AB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  <x:c r="AA723" s="62"/>
      <x:c r="AB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  <x:c r="AA724" s="62"/>
      <x:c r="AB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  <x:c r="AA725" s="62"/>
      <x:c r="AB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  <x:c r="AA726" s="62"/>
      <x:c r="AB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  <x:c r="AA727" s="62"/>
      <x:c r="AB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  <x:c r="AA728" s="62"/>
      <x:c r="AB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  <x:c r="AA729" s="62"/>
      <x:c r="AB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  <x:c r="AA730" s="62"/>
      <x:c r="AB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  <x:c r="AA731" s="62"/>
      <x:c r="AB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  <x:c r="AA732" s="62"/>
      <x:c r="AB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  <x:c r="AA733" s="62"/>
      <x:c r="AB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  <x:c r="AA734" s="62"/>
      <x:c r="AB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  <x:c r="AA735" s="62"/>
      <x:c r="AB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  <x:c r="AA736" s="62"/>
      <x:c r="AB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  <x:c r="AA737" s="62"/>
      <x:c r="AB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  <x:c r="AA738" s="62"/>
      <x:c r="AB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  <x:c r="AA739" s="62"/>
      <x:c r="AB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  <x:c r="AA740" s="62"/>
      <x:c r="AB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  <x:c r="AA741" s="62"/>
      <x:c r="AB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  <x:c r="AA742" s="62"/>
      <x:c r="AB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  <x:c r="AA743" s="62"/>
      <x:c r="AB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  <x:c r="AA744" s="62"/>
      <x:c r="AB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  <x:c r="AA745" s="62"/>
      <x:c r="AB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  <x:c r="AA746" s="62"/>
      <x:c r="AB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  <x:c r="AA747" s="62"/>
      <x:c r="AB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  <x:c r="AA748" s="62"/>
      <x:c r="AB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  <x:c r="AA749" s="62"/>
      <x:c r="AB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  <x:c r="AA750" s="62"/>
      <x:c r="AB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  <x:c r="AA751" s="62"/>
      <x:c r="AB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  <x:c r="AA752" s="62"/>
      <x:c r="AB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  <x:c r="AA753" s="62"/>
      <x:c r="AB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  <x:c r="AA754" s="62"/>
      <x:c r="AB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  <x:c r="AA755" s="62"/>
      <x:c r="AB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  <x:c r="AA756" s="62"/>
      <x:c r="AB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  <x:c r="AA757" s="62"/>
      <x:c r="AB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  <x:c r="AA758" s="62"/>
      <x:c r="AB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  <x:c r="AA759" s="62"/>
      <x:c r="AB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  <x:c r="AA760" s="62"/>
      <x:c r="AB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  <x:c r="AA761" s="62"/>
      <x:c r="AB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  <x:c r="AA762" s="62"/>
      <x:c r="AB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  <x:c r="AA763" s="62"/>
      <x:c r="AB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  <x:c r="AA764" s="62"/>
      <x:c r="AB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  <x:c r="AA765" s="62"/>
      <x:c r="AB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  <x:c r="AA766" s="62"/>
      <x:c r="AB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  <x:c r="AA767" s="62"/>
      <x:c r="AB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  <x:c r="AA768" s="62"/>
      <x:c r="AB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  <x:c r="AA769" s="62"/>
      <x:c r="AB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  <x:c r="AA770" s="62"/>
      <x:c r="AB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  <x:c r="AA771" s="62"/>
      <x:c r="AB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  <x:c r="AA772" s="62"/>
      <x:c r="AB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  <x:c r="AA773" s="62"/>
      <x:c r="AB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  <x:c r="AA774" s="62"/>
      <x:c r="AB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  <x:c r="AA775" s="62"/>
      <x:c r="AB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  <x:c r="AA776" s="62"/>
      <x:c r="AB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  <x:c r="AA777" s="62"/>
      <x:c r="AB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  <x:c r="AA778" s="62"/>
      <x:c r="AB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  <x:c r="AA779" s="62"/>
      <x:c r="AB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  <x:c r="AA780" s="62"/>
      <x:c r="AB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  <x:c r="AA781" s="62"/>
      <x:c r="AB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  <x:c r="AA782" s="62"/>
      <x:c r="AB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  <x:c r="AA783" s="62"/>
      <x:c r="AB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  <x:c r="AA784" s="62"/>
      <x:c r="AB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  <x:c r="AA785" s="62"/>
      <x:c r="AB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  <x:c r="AA786" s="62"/>
      <x:c r="AB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  <x:c r="AA787" s="62"/>
      <x:c r="AB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  <x:c r="AA788" s="62"/>
      <x:c r="AB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  <x:c r="AA789" s="62"/>
      <x:c r="AB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  <x:c r="AA790" s="62"/>
      <x:c r="AB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  <x:c r="AA791" s="62"/>
      <x:c r="AB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  <x:c r="AA792" s="62"/>
      <x:c r="AB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  <x:c r="AA793" s="62"/>
      <x:c r="AB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  <x:c r="AA794" s="62"/>
      <x:c r="AB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  <x:c r="AA795" s="62"/>
      <x:c r="AB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  <x:c r="AA796" s="62"/>
      <x:c r="AB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  <x:c r="AA797" s="62"/>
      <x:c r="AB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  <x:c r="AA798" s="62"/>
      <x:c r="AB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  <x:c r="AA799" s="62"/>
      <x:c r="AB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  <x:c r="AA800" s="62"/>
      <x:c r="AB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  <x:c r="AA801" s="62"/>
      <x:c r="AB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  <x:c r="AA802" s="62"/>
      <x:c r="AB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  <x:c r="AA803" s="62"/>
      <x:c r="AB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  <x:c r="AA804" s="62"/>
      <x:c r="AB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  <x:c r="AA805" s="62"/>
      <x:c r="AB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  <x:c r="AA806" s="62"/>
      <x:c r="AB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  <x:c r="AA807" s="62"/>
      <x:c r="AB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  <x:c r="AA808" s="62"/>
      <x:c r="AB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  <x:c r="AA809" s="62"/>
      <x:c r="AB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  <x:c r="AA810" s="62"/>
      <x:c r="AB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  <x:c r="AA811" s="62"/>
      <x:c r="AB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  <x:c r="AA812" s="62"/>
      <x:c r="AB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  <x:c r="AA813" s="62"/>
      <x:c r="AB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  <x:c r="AA814" s="62"/>
      <x:c r="AB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  <x:c r="AA815" s="62"/>
      <x:c r="AB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  <x:c r="AA816" s="62"/>
      <x:c r="AB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  <x:c r="AA817" s="62"/>
      <x:c r="AB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  <x:c r="AA818" s="62"/>
      <x:c r="AB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  <x:c r="AA819" s="62"/>
      <x:c r="AB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  <x:c r="AA820" s="62"/>
      <x:c r="AB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  <x:c r="AA821" s="62"/>
      <x:c r="AB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  <x:c r="AA822" s="62"/>
      <x:c r="AB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  <x:c r="AA823" s="62"/>
      <x:c r="AB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  <x:c r="AA824" s="62"/>
      <x:c r="AB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  <x:c r="AA825" s="62"/>
      <x:c r="AB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  <x:c r="AA826" s="62"/>
      <x:c r="AB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  <x:c r="AA827" s="62"/>
      <x:c r="AB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  <x:c r="AA828" s="62"/>
      <x:c r="AB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  <x:c r="AA829" s="62"/>
      <x:c r="AB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  <x:c r="AA830" s="62"/>
      <x:c r="AB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  <x:c r="AA831" s="62"/>
      <x:c r="AB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  <x:c r="AA832" s="62"/>
      <x:c r="AB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  <x:c r="AA833" s="62"/>
      <x:c r="AB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  <x:c r="AA834" s="62"/>
      <x:c r="AB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  <x:c r="AA835" s="62"/>
      <x:c r="AB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  <x:c r="AA836" s="62"/>
      <x:c r="AB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  <x:c r="AA837" s="62"/>
      <x:c r="AB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  <x:c r="AA838" s="62"/>
      <x:c r="AB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  <x:c r="AA839" s="62"/>
      <x:c r="AB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  <x:c r="AA840" s="62"/>
      <x:c r="AB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  <x:c r="AA841" s="62"/>
      <x:c r="AB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  <x:c r="AA842" s="62"/>
      <x:c r="AB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  <x:c r="AA843" s="62"/>
      <x:c r="AB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  <x:c r="AA844" s="62"/>
      <x:c r="AB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  <x:c r="AA845" s="62"/>
      <x:c r="AB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  <x:c r="AA846" s="62"/>
      <x:c r="AB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  <x:c r="AA847" s="62"/>
      <x:c r="AB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  <x:c r="AA848" s="62"/>
      <x:c r="AB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  <x:c r="AA849" s="62"/>
      <x:c r="AB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  <x:c r="AA850" s="62"/>
      <x:c r="AB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  <x:c r="AA851" s="62"/>
      <x:c r="AB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  <x:c r="AA852" s="62"/>
      <x:c r="AB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  <x:c r="AA853" s="62"/>
      <x:c r="AB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  <x:c r="AA854" s="62"/>
      <x:c r="AB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  <x:c r="AA855" s="62"/>
      <x:c r="AB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  <x:c r="AA856" s="62"/>
      <x:c r="AB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  <x:c r="AA857" s="62"/>
      <x:c r="AB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  <x:c r="AA858" s="62"/>
      <x:c r="AB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  <x:c r="AA859" s="62"/>
      <x:c r="AB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  <x:c r="AA860" s="62"/>
      <x:c r="AB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  <x:c r="AA861" s="62"/>
      <x:c r="AB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  <x:c r="AA862" s="62"/>
      <x:c r="AB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  <x:c r="AA863" s="62"/>
      <x:c r="AB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  <x:c r="AA864" s="62"/>
      <x:c r="AB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  <x:c r="AA865" s="62"/>
      <x:c r="AB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  <x:c r="AA866" s="62"/>
      <x:c r="AB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  <x:c r="AA867" s="62"/>
      <x:c r="AB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  <x:c r="AA868" s="62"/>
      <x:c r="AB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  <x:c r="AA869" s="62"/>
      <x:c r="AB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  <x:c r="AA870" s="62"/>
      <x:c r="AB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  <x:c r="AA871" s="62"/>
      <x:c r="AB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  <x:c r="AA872" s="62"/>
      <x:c r="AB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  <x:c r="AA873" s="62"/>
      <x:c r="AB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  <x:c r="AA874" s="62"/>
      <x:c r="AB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  <x:c r="AA875" s="62"/>
      <x:c r="AB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  <x:c r="AA876" s="62"/>
      <x:c r="AB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  <x:c r="AA877" s="62"/>
      <x:c r="AB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  <x:c r="AA878" s="62"/>
      <x:c r="AB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  <x:c r="AA879" s="62"/>
      <x:c r="AB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  <x:c r="AA880" s="62"/>
      <x:c r="AB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  <x:c r="AA881" s="62"/>
      <x:c r="AB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  <x:c r="AA882" s="62"/>
      <x:c r="AB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  <x:c r="AA883" s="62"/>
      <x:c r="AB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  <x:c r="AA884" s="62"/>
      <x:c r="AB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  <x:c r="AA885" s="62"/>
      <x:c r="AB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  <x:c r="AA886" s="62"/>
      <x:c r="AB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  <x:c r="AA887" s="62"/>
      <x:c r="AB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  <x:c r="AA888" s="62"/>
      <x:c r="AB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  <x:c r="AA889" s="62"/>
      <x:c r="AB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  <x:c r="AA890" s="62"/>
      <x:c r="AB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  <x:c r="AA891" s="62"/>
      <x:c r="AB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  <x:c r="AA892" s="62"/>
      <x:c r="AB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  <x:c r="AA893" s="62"/>
      <x:c r="AB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  <x:c r="AA894" s="62"/>
      <x:c r="AB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  <x:c r="AA895" s="62"/>
      <x:c r="AB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  <x:c r="AA896" s="62"/>
      <x:c r="AB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  <x:c r="AA897" s="62"/>
      <x:c r="AB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  <x:c r="AA898" s="62"/>
      <x:c r="AB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  <x:c r="AA899" s="62"/>
      <x:c r="AB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  <x:c r="AA900" s="62"/>
      <x:c r="AB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  <x:c r="AA901" s="62"/>
      <x:c r="AB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  <x:c r="AA902" s="62"/>
      <x:c r="AB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  <x:c r="AA903" s="62"/>
      <x:c r="AB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  <x:c r="AA904" s="62"/>
      <x:c r="AB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  <x:c r="AA905" s="62"/>
      <x:c r="AB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  <x:c r="AA906" s="62"/>
      <x:c r="AB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  <x:c r="AA907" s="62"/>
      <x:c r="AB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  <x:c r="AA908" s="62"/>
      <x:c r="AB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  <x:c r="AA909" s="62"/>
      <x:c r="AB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  <x:c r="AA910" s="62"/>
      <x:c r="AB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  <x:c r="AA911" s="62"/>
      <x:c r="AB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  <x:c r="AA912" s="62"/>
      <x:c r="AB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  <x:c r="AA913" s="62"/>
      <x:c r="AB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  <x:c r="AA914" s="62"/>
      <x:c r="AB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  <x:c r="AA915" s="62"/>
      <x:c r="AB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  <x:c r="AA916" s="62"/>
      <x:c r="AB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  <x:c r="AA917" s="62"/>
      <x:c r="AB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  <x:c r="AA918" s="62"/>
      <x:c r="AB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  <x:c r="AA919" s="62"/>
      <x:c r="AB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  <x:c r="AA920" s="62"/>
      <x:c r="AB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  <x:c r="AA921" s="62"/>
      <x:c r="AB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  <x:c r="AA922" s="62"/>
      <x:c r="AB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  <x:c r="AA923" s="62"/>
      <x:c r="AB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  <x:c r="AA924" s="62"/>
      <x:c r="AB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  <x:c r="AA925" s="62"/>
      <x:c r="AB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  <x:c r="AA926" s="62"/>
      <x:c r="AB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  <x:c r="AA927" s="62"/>
      <x:c r="AB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  <x:c r="AA928" s="62"/>
      <x:c r="AB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  <x:c r="AA929" s="62"/>
      <x:c r="AB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  <x:c r="AA930" s="62"/>
      <x:c r="AB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  <x:c r="AA931" s="62"/>
      <x:c r="AB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  <x:c r="AA932" s="62"/>
      <x:c r="AB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  <x:c r="AA933" s="62"/>
      <x:c r="AB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  <x:c r="AA934" s="62"/>
      <x:c r="AB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  <x:c r="AA935" s="62"/>
      <x:c r="AB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  <x:c r="AA936" s="62"/>
      <x:c r="AB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  <x:c r="AA937" s="62"/>
      <x:c r="AB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  <x:c r="AA938" s="62"/>
      <x:c r="AB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  <x:c r="AA939" s="62"/>
      <x:c r="AB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  <x:c r="AA940" s="62"/>
      <x:c r="AB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  <x:c r="AA941" s="62"/>
      <x:c r="AB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  <x:c r="AA942" s="62"/>
      <x:c r="AB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  <x:c r="AA943" s="62"/>
      <x:c r="AB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  <x:c r="AA944" s="62"/>
      <x:c r="AB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  <x:c r="AA945" s="62"/>
      <x:c r="AB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  <x:c r="AA946" s="62"/>
      <x:c r="AB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  <x:c r="AA947" s="62"/>
      <x:c r="AB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  <x:c r="AA948" s="62"/>
      <x:c r="AB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  <x:c r="AA949" s="62"/>
      <x:c r="AB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  <x:c r="AA950" s="62"/>
      <x:c r="AB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  <x:c r="AA951" s="62"/>
      <x:c r="AB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  <x:c r="AA952" s="62"/>
      <x:c r="AB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  <x:c r="AA953" s="62"/>
      <x:c r="AB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  <x:c r="AA954" s="62"/>
      <x:c r="AB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  <x:c r="AA955" s="62"/>
      <x:c r="AB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  <x:c r="AA956" s="62"/>
      <x:c r="AB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  <x:c r="AA957" s="62"/>
      <x:c r="AB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  <x:c r="AA958" s="62"/>
      <x:c r="AB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  <x:c r="AA959" s="62"/>
      <x:c r="AB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  <x:c r="AA960" s="62"/>
      <x:c r="AB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  <x:c r="AA961" s="62"/>
      <x:c r="AB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  <x:c r="AA962" s="62"/>
      <x:c r="AB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  <x:c r="AA963" s="62"/>
      <x:c r="AB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  <x:c r="AA964" s="62"/>
      <x:c r="AB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  <x:c r="AA965" s="62"/>
      <x:c r="AB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  <x:c r="AA966" s="62"/>
      <x:c r="AB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  <x:c r="AA967" s="62"/>
      <x:c r="AB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  <x:c r="AA968" s="62"/>
      <x:c r="AB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  <x:c r="AA969" s="62"/>
      <x:c r="AB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  <x:c r="AA970" s="62"/>
      <x:c r="AB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  <x:c r="AA971" s="62"/>
      <x:c r="AB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  <x:c r="AA972" s="62"/>
      <x:c r="AB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  <x:c r="AA973" s="62"/>
      <x:c r="AB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  <x:c r="AA974" s="62"/>
      <x:c r="AB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  <x:c r="AA975" s="62"/>
      <x:c r="AB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  <x:c r="AA976" s="62"/>
      <x:c r="AB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  <x:c r="AA977" s="62"/>
      <x:c r="AB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  <x:c r="AA978" s="62"/>
      <x:c r="AB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  <x:c r="AA979" s="62"/>
      <x:c r="AB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  <x:c r="AA980" s="62"/>
      <x:c r="AB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  <x:c r="AA981" s="62"/>
      <x:c r="AB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  <x:c r="AA982" s="62"/>
      <x:c r="AB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  <x:c r="AA983" s="62"/>
      <x:c r="AB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  <x:c r="AA984" s="62"/>
      <x:c r="AB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  <x:c r="AA985" s="62"/>
      <x:c r="AB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  <x:c r="AA986" s="62"/>
      <x:c r="AB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  <x:c r="AA987" s="62"/>
      <x:c r="AB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  <x:c r="AA988" s="62"/>
      <x:c r="AB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  <x:c r="AA989" s="62"/>
      <x:c r="AB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  <x:c r="AA990" s="62"/>
      <x:c r="AB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  <x:c r="AA991" s="62"/>
      <x:c r="AB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  <x:c r="AA992" s="62"/>
      <x:c r="AB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  <x:c r="AA993" s="62"/>
      <x:c r="AB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  <x:c r="AA994" s="62"/>
      <x:c r="AB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  <x:c r="AA995" s="62"/>
      <x:c r="AB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  <x:c r="AA996" s="62"/>
      <x:c r="AB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  <x:c r="AA997" s="62"/>
      <x:c r="AB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  <x:c r="AA998" s="62"/>
      <x:c r="AB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  <x:c r="AA999" s="62"/>
      <x:c r="AB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  <x:c r="AA1000" s="62"/>
      <x:c r="AB1000" s="62"/>
    </x:row>
  </x:sheetData>
  <x:conditionalFormatting sqref="Q2:Q1000">
    <x:cfRule type="expression" dxfId="0" priority="1">
      <x:formula>Q2="High"</x:formula>
    </x:cfRule>
    <x:cfRule type="expression" dxfId="1" priority="2">
      <x:formula>Q2="Medium"</x:formula>
    </x:cfRule>
    <x:cfRule type="expression" dxfId="2" priority="3">
      <x:formula>Q2="Low"</x:formula>
    </x:cfRule>
  </x:conditionalFormatting>
  <x:conditionalFormatting sqref="J2:J1000">
    <x:cfRule type="expression" dxfId="3" priority="4">
      <x:formula>OR(J2="Repealed",J2="Superseded")</x:formula>
    </x:cfRule>
  </x:conditionalFormatting>
  <x:dataValidations count="6">
    <x:dataValidation type="list" sqref="E2:E1000">
      <x:formula1>"EU,UK,US Federal,US States,Canada Federal,Canada Provinces,Other"</x:formula1>
    </x:dataValidation>
    <x:dataValidation type="list" sqref="I2:I1000">
      <x:formula1>"Regulation,Directive,Act,Rule,Proposed Rule,Consultation,Official Guidance,Standard,News / Notice"</x:formula1>
    </x:dataValidation>
    <x:dataValidation type="list" sqref="J2:J1000">
      <x:formula1>"Draft,Proposal,Consultation,Adopted,Published,In force,Applicable,Transition,Amended,Repealed,Superseded,Unclear"</x:formula1>
    </x:dataValidation>
    <x:dataValidation type="list" sqref="Q2:Q1000">
      <x:formula1>"High,Medium,Low,Unclear"</x:formula1>
    </x:dataValidation>
    <x:dataValidation type="list" sqref="W2:W1000">
      <x:formula1>"A,B,C,D"</x:formula1>
    </x:dataValidation>
    <x:dataValidation type="list" sqref="AA2:AA1000">
      <x:formula1>"Draft,Pending Review,Approved,Needs Legal Review,Archived"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1154317d2244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4" hidden="0" customWidth="1"/>
    <x:col min="4" max="4" width="55" hidden="0" customWidth="1"/>
    <x:col min="5" max="5" width="22" hidden="0" customWidth="1"/>
    <x:col min="6" max="6" width="12" hidden="0" customWidth="1"/>
    <x:col min="7" max="7" width="16" hidden="0" customWidth="1"/>
    <x:col min="8" max="8" width="18" hidden="0" customWidth="1"/>
    <x:col min="9" max="9" width="20" hidden="0" customWidth="1"/>
    <x:col min="10" max="10" width="18" hidden="0" customWidth="1"/>
    <x:col min="11" max="11" width="16" hidden="0" customWidth="1"/>
    <x:col min="12" max="12" width="48" hidden="0" customWidth="1"/>
    <x:col min="13" max="13" width="18" hidden="0" customWidth="1"/>
    <x:col min="14" max="14" width="18" hidden="0" customWidth="1"/>
    <x:col min="15" max="15" width="18" hidden="0" customWidth="1"/>
    <x:col min="16" max="16" width="42" hidden="0" customWidth="1"/>
  </x:cols>
  <x:sheetData>
    <x:row r="1" ht="34" customHeight="1">
      <x:c r="A1" s="84" t="str">
        <x:v>Candidate ID</x:v>
      </x:c>
      <x:c r="B1" s="84" t="str">
        <x:v>Search Query</x:v>
      </x:c>
      <x:c r="C1" s="84" t="str">
        <x:v>Result Title</x:v>
      </x:c>
      <x:c r="D1" s="84" t="str">
        <x:v>Official URL</x:v>
      </x:c>
      <x:c r="E1" s="84" t="str">
        <x:v>Source Name</x:v>
      </x:c>
      <x:c r="F1" s="84" t="str">
        <x:v>Source Level</x:v>
      </x:c>
      <x:c r="G1" s="84" t="str">
        <x:v>Official Whitelist</x:v>
      </x:c>
      <x:c r="H1" s="84" t="str">
        <x:v>Jurisdiction</x:v>
      </x:c>
      <x:c r="I1" s="84" t="str">
        <x:v>AI Document Type</x:v>
      </x:c>
      <x:c r="J1" s="84" t="str">
        <x:v>AI Legal Status</x:v>
      </x:c>
      <x:c r="K1" s="84" t="str">
        <x:v>AI Relevance</x:v>
      </x:c>
      <x:c r="L1" s="84" t="str">
        <x:v>AI Chinese Summary</x:v>
      </x:c>
      <x:c r="M1" s="84" t="str">
        <x:v>Retrieved At</x:v>
      </x:c>
      <x:c r="N1" s="84" t="str">
        <x:v>Reviewer</x:v>
      </x:c>
      <x:c r="O1" s="84" t="str">
        <x:v>Review Decision</x:v>
      </x:c>
      <x:c r="P1" s="84" t="str">
        <x:v>Review Note</x:v>
      </x:c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</x:row>
    <x:row r="5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</x:row>
    <x:row r="6">
      <x:c r="A6" s="62"/>
      <x:c r="B6" s="6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</x:row>
    <x:row r="7">
      <x:c r="A7" s="62"/>
      <x:c r="B7" s="62"/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</x:row>
    <x:row r="8">
      <x:c r="A8" s="62"/>
      <x:c r="B8" s="62"/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</x:row>
  </x:sheetData>
  <x:conditionalFormatting sqref="O2:O1000">
    <x:cfRule type="expression" dxfId="4" priority="1">
      <x:formula>O2="Approve"</x:formula>
    </x:cfRule>
    <x:cfRule type="expression" dxfId="5" priority="2">
      <x:formula>LEFT(O2,6)="Reject"</x:formula>
    </x:cfRule>
    <x:cfRule type="expression" dxfId="6" priority="3">
      <x:formula>O2="Needs Legal Review"</x:formula>
    </x:cfRule>
  </x:conditionalFormatting>
  <x:dataValidations count="3">
    <x:dataValidation type="list" sqref="O2:O1000">
      <x:formula1>"Pending,Approve,Reject - Not Relevant,Duplicate,Needs Legal Review"</x:formula1>
    </x:dataValidation>
    <x:dataValidation type="list" sqref="F2:F1000">
      <x:formula1>"A,B,C,D"</x:formula1>
    </x:dataValidation>
    <x:dataValidation type="list" sqref="K2:K1000">
      <x:formula1>"High,Medium,Low,Unclear"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0" hidden="0" customWidth="1"/>
    <x:col min="4" max="4" width="26" hidden="0" customWidth="1"/>
    <x:col min="5" max="5" width="18" hidden="0" customWidth="1"/>
    <x:col min="6" max="6" width="20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38" hidden="0" customWidth="1"/>
  </x:cols>
  <x:sheetData>
    <x:row r="1">
      <x:c r="A1" s="83" t="str">
        <x:v>Search Run ID</x:v>
      </x:c>
      <x:c r="B1" s="83" t="str">
        <x:v>Query</x:v>
      </x:c>
      <x:c r="C1" s="83" t="str">
        <x:v>Jurisdictions</x:v>
      </x:c>
      <x:c r="D1" s="83" t="str">
        <x:v>Topic</x:v>
      </x:c>
      <x:c r="E1" s="83" t="str">
        <x:v>Search Provider</x:v>
      </x:c>
      <x:c r="F1" s="83" t="str">
        <x:v>Search Time</x:v>
      </x:c>
      <x:c r="G1" s="83" t="str">
        <x:v>Results Found</x:v>
      </x:c>
      <x:c r="H1" s="83" t="str">
        <x:v>Official Results</x:v>
      </x:c>
      <x:c r="I1" s="83" t="str">
        <x:v>Approved</x:v>
      </x:c>
      <x:c r="J1" s="83" t="str">
        <x:v>Rejected</x:v>
      </x:c>
      <x:c r="K1" s="83" t="str">
        <x:v>Notes</x:v>
      </x:c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</x:row>
    <x:row r="5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</x:row>
    <x:row r="6">
      <x:c r="A6" s="62"/>
      <x:c r="B6" s="62"/>
      <x:c r="C6" s="62"/>
      <x:c r="D6" s="62"/>
      <x:c r="E6" s="62"/>
      <x:c r="F6" s="62"/>
      <x:c r="G6" s="62"/>
      <x:c r="H6" s="62"/>
      <x:c r="I6" s="62"/>
      <x:c r="J6" s="62"/>
      <x:c r="K6" s="62"/>
    </x:row>
    <x:row r="7">
      <x:c r="A7" s="62"/>
      <x:c r="B7" s="62"/>
      <x:c r="C7" s="62"/>
      <x:c r="D7" s="62"/>
      <x:c r="E7" s="62"/>
      <x:c r="F7" s="62"/>
      <x:c r="G7" s="62"/>
      <x:c r="H7" s="62"/>
      <x:c r="I7" s="62"/>
      <x:c r="J7" s="62"/>
      <x:c r="K7" s="62"/>
    </x:row>
    <x:row r="8">
      <x:c r="A8" s="62"/>
      <x:c r="B8" s="62"/>
      <x:c r="C8" s="62"/>
      <x:c r="D8" s="62"/>
      <x:c r="E8" s="62"/>
      <x:c r="F8" s="62"/>
      <x:c r="G8" s="62"/>
      <x:c r="H8" s="62"/>
      <x:c r="I8" s="62"/>
      <x:c r="J8" s="62"/>
      <x:c r="K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0" hidden="0" customWidth="1"/>
    <x:col min="4" max="4" width="12" hidden="0" customWidth="1"/>
    <x:col min="5" max="5" width="28" hidden="0" customWidth="1"/>
    <x:col min="6" max="6" width="40" hidden="0" customWidth="1"/>
    <x:col min="7" max="7" width="18" hidden="0" customWidth="1"/>
    <x:col min="8" max="8" width="52" hidden="0" customWidth="1"/>
    <x:col min="9" max="9" width="48" hidden="0" customWidth="1"/>
  </x:cols>
  <x:sheetData>
    <x:row r="1">
      <x:c r="A1" s="103" t="str">
        <x:v>Region / Market</x:v>
      </x:c>
      <x:c r="B1" s="103" t="str">
        <x:v>Official Source</x:v>
      </x:c>
      <x:c r="C1" s="103" t="str">
        <x:v>Domain</x:v>
      </x:c>
      <x:c r="D1" s="103" t="str">
        <x:v>Source Level</x:v>
      </x:c>
      <x:c r="E1" s="103" t="str">
        <x:v>Source Type</x:v>
      </x:c>
      <x:c r="F1" s="103" t="str">
        <x:v>Primary Use</x:v>
      </x:c>
      <x:c r="G1" s="103" t="str">
        <x:v>Official Legal Text</x:v>
      </x:c>
      <x:c r="H1" s="103" t="str">
        <x:v>Monitoring URL</x:v>
      </x:c>
      <x:c r="I1" s="103" t="str">
        <x:v>Notes</x:v>
      </x:c>
    </x:row>
    <x:row r="2">
      <x:c r="A2" s="62" t="str">
        <x:v>EU</x:v>
      </x:c>
      <x:c r="B2" s="62" t="str">
        <x:v>EUR-Lex</x:v>
      </x:c>
      <x:c r="C2" s="62" t="str">
        <x:v>eur-lex.europa.eu</x:v>
      </x:c>
      <x:c r="D2" s="62" t="str">
        <x:v>A</x:v>
      </x:c>
      <x:c r="E2" s="62" t="str">
        <x:v>Official legislation</x:v>
      </x:c>
      <x:c r="F2" s="62" t="str">
        <x:v>EU legislation and Official Journal</x:v>
      </x:c>
      <x:c r="G2" s="62" t="str">
        <x:v>Yes</x:v>
      </x:c>
      <x:c r="H2" s="62" t="str">
        <x:v>https://eur-lex.europa.eu/</x:v>
      </x:c>
      <x:c r="I2" s="62" t="str">
        <x:v>正式法规核验首选</x:v>
      </x:c>
    </x:row>
    <x:row r="3">
      <x:c r="A3" s="62" t="str">
        <x:v>EU</x:v>
      </x:c>
      <x:c r="B3" s="62" t="str">
        <x:v>European Commission</x:v>
      </x:c>
      <x:c r="C3" s="62" t="str">
        <x:v>commission.europa.eu</x:v>
      </x:c>
      <x:c r="D3" s="62" t="str">
        <x:v>B</x:v>
      </x:c>
      <x:c r="E3" s="62" t="str">
        <x:v>Regulator / government guidance</x:v>
      </x:c>
      <x:c r="F3" s="62" t="str">
        <x:v>Policy, guidance and implementation</x:v>
      </x:c>
      <x:c r="G3" s="62" t="str">
        <x:v>Yes</x:v>
      </x:c>
      <x:c r="H3" s="62" t="str">
        <x:v>https://commission.europa.eu/</x:v>
      </x:c>
      <x:c r="I3" s="62" t="str">
        <x:v>指南、FAQ、咨询与实施信息</x:v>
      </x:c>
    </x:row>
    <x:row r="4">
      <x:c r="A4" s="62" t="str">
        <x:v>EU</x:v>
      </x:c>
      <x:c r="B4" s="62" t="str">
        <x:v>ECHA</x:v>
      </x:c>
      <x:c r="C4" s="62" t="str">
        <x:v>echa.europa.eu</x:v>
      </x:c>
      <x:c r="D4" s="62" t="str">
        <x:v>B</x:v>
      </x:c>
      <x:c r="E4" s="62" t="str">
        <x:v>Regulator / government guidance</x:v>
      </x:c>
      <x:c r="F4" s="62" t="str">
        <x:v>REACH, chemicals and restrictions</x:v>
      </x:c>
      <x:c r="G4" s="62" t="str">
        <x:v>Yes</x:v>
      </x:c>
      <x:c r="H4" s="62" t="str">
        <x:v>https://echa.europa.eu/</x:v>
      </x:c>
      <x:c r="I4" s="62" t="str">
        <x:v>化学品法规重点来源</x:v>
      </x:c>
    </x:row>
    <x:row r="5">
      <x:c r="A5" s="62" t="str">
        <x:v>UK</x:v>
      </x:c>
      <x:c r="B5" s="62" t="str">
        <x:v>UK Legislation</x:v>
      </x:c>
      <x:c r="C5" s="62" t="str">
        <x:v>legislation.gov.uk</x:v>
      </x:c>
      <x:c r="D5" s="62" t="str">
        <x:v>A</x:v>
      </x:c>
      <x:c r="E5" s="62" t="str">
        <x:v>Official legislation</x:v>
      </x:c>
      <x:c r="F5" s="62" t="str">
        <x:v>Acts and statutory instruments</x:v>
      </x:c>
      <x:c r="G5" s="62" t="str">
        <x:v>Yes</x:v>
      </x:c>
      <x:c r="H5" s="62" t="str">
        <x:v>https://www.legislation.gov.uk/</x:v>
      </x:c>
      <x:c r="I5" s="62" t="str">
        <x:v>英国正式立法</x:v>
      </x:c>
    </x:row>
    <x:row r="6">
      <x:c r="A6" s="62" t="str">
        <x:v>UK</x:v>
      </x:c>
      <x:c r="B6" s="62" t="str">
        <x:v>GOV.UK</x:v>
      </x:c>
      <x:c r="C6" s="62" t="str">
        <x:v>gov.uk</x:v>
      </x:c>
      <x:c r="D6" s="62" t="str">
        <x:v>B</x:v>
      </x:c>
      <x:c r="E6" s="62" t="str">
        <x:v>Regulator / government guidance</x:v>
      </x:c>
      <x:c r="F6" s="62" t="str">
        <x:v>Guidance, consultations and EPR</x:v>
      </x:c>
      <x:c r="G6" s="62" t="str">
        <x:v>Yes</x:v>
      </x:c>
      <x:c r="H6" s="62" t="str">
        <x:v>https://www.gov.uk/</x:v>
      </x:c>
      <x:c r="I6" s="62" t="str">
        <x:v>英国监管实施信息</x:v>
      </x:c>
    </x:row>
    <x:row r="7">
      <x:c r="A7" s="62" t="str">
        <x:v>US Federal</x:v>
      </x:c>
      <x:c r="B7" s="62" t="str">
        <x:v>Federal Register</x:v>
      </x:c>
      <x:c r="C7" s="62" t="str">
        <x:v>federalregister.gov</x:v>
      </x:c>
      <x:c r="D7" s="62" t="str">
        <x:v>A</x:v>
      </x:c>
      <x:c r="E7" s="62" t="str">
        <x:v>Official legislation</x:v>
      </x:c>
      <x:c r="F7" s="62" t="str">
        <x:v>Proposed and final federal rules</x:v>
      </x:c>
      <x:c r="G7" s="62" t="str">
        <x:v>Yes</x:v>
      </x:c>
      <x:c r="H7" s="62" t="str">
        <x:v>https://www.federalregister.gov/</x:v>
      </x:c>
      <x:c r="I7" s="62" t="str">
        <x:v>拟议规则和最终规则</x:v>
      </x:c>
    </x:row>
    <x:row r="8">
      <x:c r="A8" s="62" t="str">
        <x:v>US Federal</x:v>
      </x:c>
      <x:c r="B8" s="62" t="str">
        <x:v>eCFR</x:v>
      </x:c>
      <x:c r="C8" s="62" t="str">
        <x:v>ecfr.gov</x:v>
      </x:c>
      <x:c r="D8" s="62" t="str">
        <x:v>A</x:v>
      </x:c>
      <x:c r="E8" s="62" t="str">
        <x:v>Official legislation</x:v>
      </x:c>
      <x:c r="F8" s="62" t="str">
        <x:v>Current federal regulatory text</x:v>
      </x:c>
      <x:c r="G8" s="62" t="str">
        <x:v>Yes</x:v>
      </x:c>
      <x:c r="H8" s="62" t="str">
        <x:v>https://www.ecfr.gov/</x:v>
      </x:c>
      <x:c r="I8" s="62" t="str">
        <x:v>现行联邦法规文本</x:v>
      </x:c>
    </x:row>
    <x:row r="9">
      <x:c r="A9" s="62" t="str">
        <x:v>US Federal</x:v>
      </x:c>
      <x:c r="B9" s="62" t="str">
        <x:v>CPSC</x:v>
      </x:c>
      <x:c r="C9" s="62" t="str">
        <x:v>cpsc.gov</x:v>
      </x:c>
      <x:c r="D9" s="62" t="str">
        <x:v>B</x:v>
      </x:c>
      <x:c r="E9" s="62" t="str">
        <x:v>Regulator / government guidance</x:v>
      </x:c>
      <x:c r="F9" s="62" t="str">
        <x:v>Consumer product safety</x:v>
      </x:c>
      <x:c r="G9" s="62" t="str">
        <x:v>Yes</x:v>
      </x:c>
      <x:c r="H9" s="62" t="str">
        <x:v>https://www.cpsc.gov/</x:v>
      </x:c>
      <x:c r="I9" s="62" t="str">
        <x:v>产品安全、召回和报告</x:v>
      </x:c>
    </x:row>
    <x:row r="10">
      <x:c r="A10" s="62" t="str">
        <x:v>US Federal</x:v>
      </x:c>
      <x:c r="B10" s="62" t="str">
        <x:v>EPA</x:v>
      </x:c>
      <x:c r="C10" s="62" t="str">
        <x:v>epa.gov</x:v>
      </x:c>
      <x:c r="D10" s="62" t="str">
        <x:v>B</x:v>
      </x:c>
      <x:c r="E10" s="62" t="str">
        <x:v>Regulator / government guidance</x:v>
      </x:c>
      <x:c r="F10" s="62" t="str">
        <x:v>Environmental and chemical regulation</x:v>
      </x:c>
      <x:c r="G10" s="62" t="str">
        <x:v>Yes</x:v>
      </x:c>
      <x:c r="H10" s="62" t="str">
        <x:v>https://www.epa.gov/</x:v>
      </x:c>
      <x:c r="I10" s="62" t="str">
        <x:v>环境、废弃物、化学品和EPR</x:v>
      </x:c>
    </x:row>
    <x:row r="11">
      <x:c r="A11" s="62" t="str">
        <x:v>Canada Federal</x:v>
      </x:c>
      <x:c r="B11" s="62" t="str">
        <x:v>Justice Laws</x:v>
      </x:c>
      <x:c r="C11" s="62" t="str">
        <x:v>laws-lois.justice.gc.ca</x:v>
      </x:c>
      <x:c r="D11" s="62" t="str">
        <x:v>A</x:v>
      </x:c>
      <x:c r="E11" s="62" t="str">
        <x:v>Official legislation</x:v>
      </x:c>
      <x:c r="F11" s="62" t="str">
        <x:v>Consolidated federal laws</x:v>
      </x:c>
      <x:c r="G11" s="62" t="str">
        <x:v>Yes</x:v>
      </x:c>
      <x:c r="H11" s="62" t="str">
        <x:v>https://laws-lois.justice.gc.ca/eng/</x:v>
      </x:c>
      <x:c r="I11" s="62" t="str">
        <x:v>加拿大联邦正式法律</x:v>
      </x:c>
    </x:row>
    <x:row r="12">
      <x:c r="A12" s="62" t="str">
        <x:v>Canada Federal</x:v>
      </x:c>
      <x:c r="B12" s="62" t="str">
        <x:v>Canada Gazette</x:v>
      </x:c>
      <x:c r="C12" s="62" t="str">
        <x:v>gazette.gc.ca</x:v>
      </x:c>
      <x:c r="D12" s="62" t="str">
        <x:v>A</x:v>
      </x:c>
      <x:c r="E12" s="62" t="str">
        <x:v>Official legislation</x:v>
      </x:c>
      <x:c r="F12" s="62" t="str">
        <x:v>Proposed and enacted regulations</x:v>
      </x:c>
      <x:c r="G12" s="62" t="str">
        <x:v>Yes</x:v>
      </x:c>
      <x:c r="H12" s="62" t="str">
        <x:v>https://gazette.gc.ca/</x:v>
      </x:c>
      <x:c r="I12" s="62" t="str">
        <x:v>拟议及正式法规</x:v>
      </x:c>
    </x:row>
    <x:row r="13">
      <x:c r="A13" s="62" t="str">
        <x:v>Global</x:v>
      </x:c>
      <x:c r="B13" s="62" t="str">
        <x:v>Intertek China Regulatory &amp; Standards</x:v>
      </x:c>
      <x:c r="C13" s="62" t="str">
        <x:v>intertek.com.cn</x:v>
      </x:c>
      <x:c r="D13" s="62" t="str">
        <x:v>C</x:v>
      </x:c>
      <x:c r="E13" s="62" t="str">
        <x:v>Testing / certification body</x:v>
      </x:c>
      <x:c r="F13" s="62" t="str">
        <x:v>Product regulations, standards and certification</x:v>
      </x:c>
      <x:c r="G13" s="62" t="str">
        <x:v>No</x:v>
      </x:c>
      <x:c r="H13" s="62" t="str">
        <x:v>https://www.intertek.com.cn/Regulatorystandard</x:v>
      </x:c>
      <x:c r="I13" s="62" t="str">
        <x:v>用于发现线索和专业解读，需回到官方原文</x:v>
      </x:c>
    </x:row>
    <x:row r="14">
      <x:c r="A14" s="62" t="str">
        <x:v>Global</x:v>
      </x:c>
      <x:c r="B14" s="62" t="str">
        <x:v>技术性贸易措施资讯网</x:v>
      </x:c>
      <x:c r="C14" s="62" t="str">
        <x:v>tbt.org.cn</x:v>
      </x:c>
      <x:c r="D14" s="62" t="str">
        <x:v>B</x:v>
      </x:c>
      <x:c r="E14" s="62" t="str">
        <x:v>Authoritative notification platform</x:v>
      </x:c>
      <x:c r="F14" s="62" t="str">
        <x:v>TBT/SPS, news and warning information</x:v>
      </x:c>
      <x:c r="G14" s="62" t="str">
        <x:v>No</x:v>
      </x:c>
      <x:c r="H14" s="62" t="str">
        <x:v>http://www.tbt.org.cn/index.html</x:v>
      </x:c>
      <x:c r="I14" s="62" t="str">
        <x:v>重点关注新闻速递、预警信息和TBT/SPS通报</x:v>
      </x:c>
    </x:row>
    <x:row r="15">
      <x:c r="A15" s="62" t="str">
        <x:v>Global</x:v>
      </x:c>
      <x:c r="B15" s="62" t="str">
        <x:v>REACH24H</x:v>
      </x:c>
      <x:c r="C15" s="62" t="str">
        <x:v>reach24h.com</x:v>
      </x:c>
      <x:c r="D15" s="62" t="str">
        <x:v>C</x:v>
      </x:c>
      <x:c r="E15" s="62" t="str">
        <x:v>Regulatory consulting</x:v>
      </x:c>
      <x:c r="F15" s="62" t="str">
        <x:v>Chemicals, REACH, RoHS, PFAS, batteries and packaging</x:v>
      </x:c>
      <x:c r="G15" s="62" t="str">
        <x:v>No</x:v>
      </x:c>
      <x:c r="H15" s="62" t="str">
        <x:v>https://www.reach24h.com/</x:v>
      </x:c>
      <x:c r="I15" s="62" t="str">
        <x:v>化学品和材料法规重点专业来源</x:v>
      </x:c>
    </x:row>
    <x:row r="16">
      <x:c r="A16" s="62" t="str">
        <x:v>Global</x:v>
      </x:c>
      <x:c r="B16" s="62" t="str">
        <x:v>In Compliance Magazine</x:v>
      </x:c>
      <x:c r="C16" s="62" t="str">
        <x:v>incompliancemag.com</x:v>
      </x:c>
      <x:c r="D16" s="62" t="str">
        <x:v>D</x:v>
      </x:c>
      <x:c r="E16" s="62" t="str">
        <x:v>Industry media</x:v>
      </x:c>
      <x:c r="F16" s="62" t="str">
        <x:v>EMC, wireless, electrical and product compliance</x:v>
      </x:c>
      <x:c r="G16" s="62" t="str">
        <x:v>No</x:v>
      </x:c>
      <x:c r="H16" s="62" t="str">
        <x:v>https://incompliancemag.com/</x:v>
      </x:c>
      <x:c r="I16" s="62" t="str">
        <x:v>行业文章和趋势线索</x:v>
      </x:c>
    </x:row>
    <x:row r="17">
      <x:c r="A17" s="62" t="str">
        <x:v>EU / Germany</x:v>
      </x:c>
      <x:c r="B17" s="62" t="str">
        <x:v>Deutsche Recycling</x:v>
      </x:c>
      <x:c r="C17" s="62" t="str">
        <x:v>deutsche-recycling.com</x:v>
      </x:c>
      <x:c r="D17" s="62" t="str">
        <x:v>C</x:v>
      </x:c>
      <x:c r="E17" s="62" t="str">
        <x:v>EPR compliance service</x:v>
      </x:c>
      <x:c r="F17" s="62" t="str">
        <x:v>Packaging, WEEE and battery EPR</x:v>
      </x:c>
      <x:c r="G17" s="62" t="str">
        <x:v>No</x:v>
      </x:c>
      <x:c r="H17" s="62" t="str">
        <x:v>https://deutsche-recycling.com</x:v>
      </x:c>
      <x:c r="I17" s="62" t="str">
        <x:v>德国和欧盟EPR实务信息</x:v>
      </x:c>
    </x:row>
    <x:row r="18">
      <x:c r="A18" s="62" t="str">
        <x:v>UK / EU</x:v>
      </x:c>
      <x:c r="B18" s="62" t="str">
        <x:v>GWP Packaging</x:v>
      </x:c>
      <x:c r="C18" s="62" t="str">
        <x:v>gwp.co.uk</x:v>
      </x:c>
      <x:c r="D18" s="62" t="str">
        <x:v>D</x:v>
      </x:c>
      <x:c r="E18" s="62" t="str">
        <x:v>Packaging specialist</x:v>
      </x:c>
      <x:c r="F18" s="62" t="str">
        <x:v>Packaging design, materials and EPR commentary</x:v>
      </x:c>
      <x:c r="G18" s="62" t="str">
        <x:v>No</x:v>
      </x:c>
      <x:c r="H18" s="62" t="str">
        <x:v>https://www.gwp.co.uk</x:v>
      </x:c>
      <x:c r="I18" s="62" t="str">
        <x:v>包装专业文章，不能代替法律原文</x:v>
      </x:c>
    </x:row>
    <x:row r="19">
      <x:c r="A19" s="62" t="str">
        <x:v>Global</x:v>
      </x:c>
      <x:c r="B19" s="62" t="str">
        <x:v>Product Compliance Institute</x:v>
      </x:c>
      <x:c r="C19" s="62" t="str">
        <x:v>productcomplianceinstitute.com</x:v>
      </x:c>
      <x:c r="D19" s="62" t="str">
        <x:v>C</x:v>
      </x:c>
      <x:c r="E19" s="62" t="str">
        <x:v>Regulatory training / consulting</x:v>
      </x:c>
      <x:c r="F19" s="62" t="str">
        <x:v>General product compliance</x:v>
      </x:c>
      <x:c r="G19" s="62" t="str">
        <x:v>No</x:v>
      </x:c>
      <x:c r="H19" s="62" t="str">
        <x:v>https://www.productcomplianceinstitute.com</x:v>
      </x:c>
      <x:c r="I19" s="62" t="str">
        <x:v>综合法规和培训资料</x:v>
      </x:c>
    </x:row>
    <x:row r="20">
      <x:c r="A20" s="62" t="str">
        <x:v>US States</x:v>
      </x:c>
      <x:c r="B20" s="62" t="str">
        <x:v>Circular Action Alliance</x:v>
      </x:c>
      <x:c r="C20" s="62" t="str">
        <x:v>circularactionalliance.org</x:v>
      </x:c>
      <x:c r="D20" s="62" t="str">
        <x:v>B</x:v>
      </x:c>
      <x:c r="E20" s="62" t="str">
        <x:v>EPR operational organization</x:v>
      </x:c>
      <x:c r="F20" s="62" t="str">
        <x:v>State packaging EPR registration and reporting</x:v>
      </x:c>
      <x:c r="G20" s="62" t="str">
        <x:v>No</x:v>
      </x:c>
      <x:c r="H20" s="62" t="str">
        <x:v>https://circularactionalliance.org/producer-resource-center#Events</x:v>
      </x:c>
      <x:c r="I20" s="62" t="str">
        <x:v>PRO运营、注册和申报时间节点；法律结论需州政府原文</x:v>
      </x:c>
    </x:row>
    <x:row r="21">
      <x:c r="A21" s="62" t="str">
        <x:v>Global</x:v>
      </x:c>
      <x:c r="B21" s="62" t="str">
        <x:v>《电器》杂志</x:v>
      </x:c>
      <x:c r="C21" s="62" t="str">
        <x:v>dianqizazhi.com</x:v>
      </x:c>
      <x:c r="D21" s="62" t="str">
        <x:v>D</x:v>
      </x:c>
      <x:c r="E21" s="62" t="str">
        <x:v>Industry publication</x:v>
      </x:c>
      <x:c r="F21" s="62" t="str">
        <x:v>Domestic appliance industry news</x:v>
      </x:c>
      <x:c r="G21" s="62" t="str">
        <x:v>No</x:v>
      </x:c>
      <x:c r="H21" s="62" t="str">
        <x:v>https://www.dianqizazhi.com/</x:v>
      </x:c>
      <x:c r="I21" s="62" t="str">
        <x:v>国内行业新闻和政策线索</x:v>
      </x:c>
    </x:row>
    <x:row r="22">
      <x:c r="A22" s="62"/>
      <x:c r="B22" s="62"/>
      <x:c r="C22" s="62"/>
      <x:c r="D22" s="62"/>
      <x:c r="E22" s="62"/>
      <x:c r="F22" s="62"/>
      <x:c r="G22" s="62"/>
    </x:row>
    <x:row r="23">
      <x:c r="A23" s="62"/>
      <x:c r="B23" s="62"/>
      <x:c r="C23" s="62"/>
      <x:c r="D23" s="62"/>
      <x:c r="E23" s="62"/>
      <x:c r="F23" s="62"/>
      <x:c r="G23" s="62"/>
    </x:row>
    <x:row r="24">
      <x:c r="A24" s="62"/>
      <x:c r="B24" s="62"/>
      <x:c r="C24" s="62"/>
      <x:c r="D24" s="62"/>
      <x:c r="E24" s="62"/>
      <x:c r="F24" s="62"/>
      <x:c r="G24" s="62"/>
    </x:row>
    <x:row r="25">
      <x:c r="A25" s="62"/>
      <x:c r="B25" s="62"/>
      <x:c r="C25" s="62"/>
      <x:c r="D25" s="62"/>
      <x:c r="E25" s="62"/>
      <x:c r="F25" s="62"/>
      <x:c r="G25" s="62"/>
    </x:row>
    <x:row r="26">
      <x:c r="A26" s="62"/>
      <x:c r="B26" s="62"/>
      <x:c r="C26" s="62"/>
      <x:c r="D26" s="62"/>
      <x:c r="E26" s="62"/>
      <x:c r="F26" s="62"/>
      <x:c r="G26" s="62"/>
    </x:row>
    <x:row r="27">
      <x:c r="A27" s="62"/>
      <x:c r="B27" s="62"/>
      <x:c r="C27" s="62"/>
      <x:c r="D27" s="62"/>
      <x:c r="E27" s="62"/>
      <x:c r="F27" s="62"/>
      <x:c r="G27" s="62"/>
    </x:row>
    <x:row r="28">
      <x:c r="A28" s="62"/>
      <x:c r="B28" s="62"/>
      <x:c r="C28" s="62"/>
      <x:c r="D28" s="62"/>
      <x:c r="E28" s="62"/>
      <x:c r="F28" s="62"/>
      <x:c r="G28" s="62"/>
    </x:row>
    <x:row r="29">
      <x:c r="A29" s="62"/>
      <x:c r="B29" s="62"/>
      <x:c r="C29" s="62"/>
      <x:c r="D29" s="62"/>
      <x:c r="E29" s="62"/>
      <x:c r="F29" s="62"/>
      <x:c r="G29" s="62"/>
    </x:row>
    <x:row r="30">
      <x:c r="A30" s="62"/>
      <x:c r="B30" s="62"/>
      <x:c r="C30" s="62"/>
      <x:c r="D30" s="62"/>
      <x:c r="E30" s="62"/>
      <x:c r="F30" s="62"/>
      <x:c r="G30" s="62"/>
    </x:row>
    <x:row r="31">
      <x:c r="A31" s="62"/>
      <x:c r="B31" s="62"/>
      <x:c r="C31" s="62"/>
      <x:c r="D31" s="62"/>
      <x:c r="E31" s="62"/>
      <x:c r="F31" s="62"/>
      <x:c r="G31" s="62"/>
    </x:row>
    <x:row r="32">
      <x:c r="A32" s="62"/>
      <x:c r="B32" s="62"/>
      <x:c r="C32" s="62"/>
      <x:c r="D32" s="62"/>
      <x:c r="E32" s="62"/>
      <x:c r="F32" s="62"/>
      <x:c r="G32" s="62"/>
    </x:row>
    <x:row r="33">
      <x:c r="A33" s="62"/>
      <x:c r="B33" s="62"/>
      <x:c r="C33" s="62"/>
      <x:c r="D33" s="62"/>
      <x:c r="E33" s="62"/>
      <x:c r="F33" s="62"/>
      <x:c r="G33" s="62"/>
    </x:row>
    <x:row r="34">
      <x:c r="A34" s="62"/>
      <x:c r="B34" s="62"/>
      <x:c r="C34" s="62"/>
      <x:c r="D34" s="62"/>
      <x:c r="E34" s="62"/>
      <x:c r="F34" s="62"/>
      <x:c r="G34" s="62"/>
    </x:row>
    <x:row r="35">
      <x:c r="A35" s="62"/>
      <x:c r="B35" s="62"/>
      <x:c r="C35" s="62"/>
      <x:c r="D35" s="62"/>
      <x:c r="E35" s="62"/>
      <x:c r="F35" s="62"/>
      <x:c r="G35" s="62"/>
    </x:row>
    <x:row r="36">
      <x:c r="A36" s="62"/>
      <x:c r="B36" s="62"/>
      <x:c r="C36" s="62"/>
      <x:c r="D36" s="62"/>
      <x:c r="E36" s="62"/>
      <x:c r="F36" s="62"/>
      <x:c r="G36" s="62"/>
    </x:row>
    <x:row r="37">
      <x:c r="A37" s="62"/>
      <x:c r="B37" s="62"/>
      <x:c r="C37" s="62"/>
      <x:c r="D37" s="62"/>
      <x:c r="E37" s="62"/>
      <x:c r="F37" s="62"/>
      <x:c r="G37" s="62"/>
    </x:row>
    <x:row r="38">
      <x:c r="A38" s="62"/>
      <x:c r="B38" s="62"/>
      <x:c r="C38" s="62"/>
      <x:c r="D38" s="62"/>
      <x:c r="E38" s="62"/>
      <x:c r="F38" s="62"/>
      <x:c r="G38" s="62"/>
    </x:row>
    <x:row r="39">
      <x:c r="A39" s="62"/>
      <x:c r="B39" s="62"/>
      <x:c r="C39" s="62"/>
      <x:c r="D39" s="62"/>
      <x:c r="E39" s="62"/>
      <x:c r="F39" s="62"/>
      <x:c r="G39" s="62"/>
    </x:row>
    <x:row r="40">
      <x:c r="A40" s="62"/>
      <x:c r="B40" s="62"/>
      <x:c r="C40" s="62"/>
      <x:c r="D40" s="62"/>
      <x:c r="E40" s="62"/>
      <x:c r="F40" s="62"/>
      <x:c r="G40" s="62"/>
    </x:row>
    <x:row r="41">
      <x:c r="A41" s="62"/>
      <x:c r="B41" s="62"/>
      <x:c r="C41" s="62"/>
      <x:c r="D41" s="62"/>
      <x:c r="E41" s="62"/>
      <x:c r="F41" s="62"/>
      <x:c r="G41" s="62"/>
    </x:row>
    <x:row r="42">
      <x:c r="A42" s="62"/>
      <x:c r="B42" s="62"/>
      <x:c r="C42" s="62"/>
      <x:c r="D42" s="62"/>
      <x:c r="E42" s="62"/>
      <x:c r="F42" s="62"/>
      <x:c r="G42" s="62"/>
    </x:row>
    <x:row r="43">
      <x:c r="A43" s="62"/>
      <x:c r="B43" s="62"/>
      <x:c r="C43" s="62"/>
      <x:c r="D43" s="62"/>
      <x:c r="E43" s="62"/>
      <x:c r="F43" s="62"/>
      <x:c r="G43" s="62"/>
    </x:row>
    <x:row r="44">
      <x:c r="A44" s="62"/>
      <x:c r="B44" s="62"/>
      <x:c r="C44" s="62"/>
      <x:c r="D44" s="62"/>
      <x:c r="E44" s="62"/>
      <x:c r="F44" s="62"/>
      <x:c r="G44" s="62"/>
    </x:row>
    <x:row r="45">
      <x:c r="A45" s="62"/>
      <x:c r="B45" s="62"/>
      <x:c r="C45" s="62"/>
      <x:c r="D45" s="62"/>
      <x:c r="E45" s="62"/>
      <x:c r="F45" s="62"/>
      <x:c r="G45" s="62"/>
    </x:row>
    <x:row r="46">
      <x:c r="A46" s="62"/>
      <x:c r="B46" s="62"/>
      <x:c r="C46" s="62"/>
      <x:c r="D46" s="62"/>
      <x:c r="E46" s="62"/>
      <x:c r="F46" s="62"/>
      <x:c r="G46" s="62"/>
    </x:row>
    <x:row r="47">
      <x:c r="A47" s="62"/>
      <x:c r="B47" s="62"/>
      <x:c r="C47" s="62"/>
      <x:c r="D47" s="62"/>
      <x:c r="E47" s="62"/>
      <x:c r="F47" s="62"/>
      <x:c r="G47" s="62"/>
    </x:row>
    <x:row r="48">
      <x:c r="A48" s="62"/>
      <x:c r="B48" s="62"/>
      <x:c r="C48" s="62"/>
      <x:c r="D48" s="62"/>
      <x:c r="E48" s="62"/>
      <x:c r="F48" s="62"/>
      <x:c r="G48" s="62"/>
    </x:row>
    <x:row r="49">
      <x:c r="A49" s="62"/>
      <x:c r="B49" s="62"/>
      <x:c r="C49" s="62"/>
      <x:c r="D49" s="62"/>
      <x:c r="E49" s="62"/>
      <x:c r="F49" s="62"/>
      <x:c r="G49" s="62"/>
    </x:row>
    <x:row r="50">
      <x:c r="A50" s="62"/>
      <x:c r="B50" s="62"/>
      <x:c r="C50" s="62"/>
      <x:c r="D50" s="62"/>
      <x:c r="E50" s="62"/>
      <x:c r="F50" s="62"/>
      <x:c r="G50" s="62"/>
    </x:row>
    <x:row r="51">
      <x:c r="A51" s="62"/>
      <x:c r="B51" s="62"/>
      <x:c r="C51" s="62"/>
      <x:c r="D51" s="62"/>
      <x:c r="E51" s="62"/>
      <x:c r="F51" s="62"/>
      <x:c r="G51" s="62"/>
    </x:row>
    <x:row r="52">
      <x:c r="A52" s="62"/>
      <x:c r="B52" s="62"/>
      <x:c r="C52" s="62"/>
      <x:c r="D52" s="62"/>
      <x:c r="E52" s="62"/>
      <x:c r="F52" s="62"/>
      <x:c r="G52" s="62"/>
    </x:row>
    <x:row r="53">
      <x:c r="A53" s="62"/>
      <x:c r="B53" s="62"/>
      <x:c r="C53" s="62"/>
      <x:c r="D53" s="62"/>
      <x:c r="E53" s="62"/>
      <x:c r="F53" s="62"/>
      <x:c r="G53" s="62"/>
    </x:row>
    <x:row r="54">
      <x:c r="A54" s="62"/>
      <x:c r="B54" s="62"/>
      <x:c r="C54" s="62"/>
      <x:c r="D54" s="62"/>
      <x:c r="E54" s="62"/>
      <x:c r="F54" s="62"/>
      <x:c r="G54" s="62"/>
    </x:row>
    <x:row r="55">
      <x:c r="A55" s="62"/>
      <x:c r="B55" s="62"/>
      <x:c r="C55" s="62"/>
      <x:c r="D55" s="62"/>
      <x:c r="E55" s="62"/>
      <x:c r="F55" s="62"/>
      <x:c r="G55" s="62"/>
    </x:row>
    <x:row r="56">
      <x:c r="A56" s="62"/>
      <x:c r="B56" s="62"/>
      <x:c r="C56" s="62"/>
      <x:c r="D56" s="62"/>
      <x:c r="E56" s="62"/>
      <x:c r="F56" s="62"/>
      <x:c r="G56" s="62"/>
    </x:row>
    <x:row r="57">
      <x:c r="A57" s="62"/>
      <x:c r="B57" s="62"/>
      <x:c r="C57" s="62"/>
      <x:c r="D57" s="62"/>
      <x:c r="E57" s="62"/>
      <x:c r="F57" s="62"/>
      <x:c r="G57" s="62"/>
    </x:row>
    <x:row r="58">
      <x:c r="A58" s="62"/>
      <x:c r="B58" s="62"/>
      <x:c r="C58" s="62"/>
      <x:c r="D58" s="62"/>
      <x:c r="E58" s="62"/>
      <x:c r="F58" s="62"/>
      <x:c r="G58" s="62"/>
    </x:row>
    <x:row r="59">
      <x:c r="A59" s="62"/>
      <x:c r="B59" s="62"/>
      <x:c r="C59" s="62"/>
      <x:c r="D59" s="62"/>
      <x:c r="E59" s="62"/>
      <x:c r="F59" s="62"/>
      <x:c r="G59" s="62"/>
    </x:row>
    <x:row r="60">
      <x:c r="A60" s="62"/>
      <x:c r="B60" s="62"/>
      <x:c r="C60" s="62"/>
      <x:c r="D60" s="62"/>
      <x:c r="E60" s="62"/>
      <x:c r="F60" s="62"/>
      <x:c r="G60" s="62"/>
    </x:row>
    <x:row r="61">
      <x:c r="A61" s="62"/>
      <x:c r="B61" s="62"/>
      <x:c r="C61" s="62"/>
      <x:c r="D61" s="62"/>
      <x:c r="E61" s="62"/>
      <x:c r="F61" s="62"/>
      <x:c r="G61" s="62"/>
    </x:row>
    <x:row r="62">
      <x:c r="A62" s="62"/>
      <x:c r="B62" s="62"/>
      <x:c r="C62" s="62"/>
      <x:c r="D62" s="62"/>
      <x:c r="E62" s="62"/>
      <x:c r="F62" s="62"/>
      <x:c r="G62" s="62"/>
    </x:row>
    <x:row r="63">
      <x:c r="A63" s="62"/>
      <x:c r="B63" s="62"/>
      <x:c r="C63" s="62"/>
      <x:c r="D63" s="62"/>
      <x:c r="E63" s="62"/>
      <x:c r="F63" s="62"/>
      <x:c r="G63" s="62"/>
    </x:row>
    <x:row r="64">
      <x:c r="A64" s="62"/>
      <x:c r="B64" s="62"/>
      <x:c r="C64" s="62"/>
      <x:c r="D64" s="62"/>
      <x:c r="E64" s="62"/>
      <x:c r="F64" s="62"/>
      <x:c r="G64" s="62"/>
    </x:row>
    <x:row r="65">
      <x:c r="A65" s="62"/>
      <x:c r="B65" s="62"/>
      <x:c r="C65" s="62"/>
      <x:c r="D65" s="62"/>
      <x:c r="E65" s="62"/>
      <x:c r="F65" s="62"/>
      <x:c r="G65" s="62"/>
    </x:row>
    <x:row r="66">
      <x:c r="A66" s="62"/>
      <x:c r="B66" s="62"/>
      <x:c r="C66" s="62"/>
      <x:c r="D66" s="62"/>
      <x:c r="E66" s="62"/>
      <x:c r="F66" s="62"/>
      <x:c r="G66" s="62"/>
    </x:row>
    <x:row r="67">
      <x:c r="A67" s="62"/>
      <x:c r="B67" s="62"/>
      <x:c r="C67" s="62"/>
      <x:c r="D67" s="62"/>
      <x:c r="E67" s="62"/>
      <x:c r="F67" s="62"/>
      <x:c r="G67" s="62"/>
    </x:row>
    <x:row r="68">
      <x:c r="A68" s="62"/>
      <x:c r="B68" s="62"/>
      <x:c r="C68" s="62"/>
      <x:c r="D68" s="62"/>
      <x:c r="E68" s="62"/>
      <x:c r="F68" s="62"/>
      <x:c r="G68" s="62"/>
    </x:row>
    <x:row r="69">
      <x:c r="A69" s="62"/>
      <x:c r="B69" s="62"/>
      <x:c r="C69" s="62"/>
      <x:c r="D69" s="62"/>
      <x:c r="E69" s="62"/>
      <x:c r="F69" s="62"/>
      <x:c r="G69" s="62"/>
    </x:row>
    <x:row r="70">
      <x:c r="A70" s="62"/>
      <x:c r="B70" s="62"/>
      <x:c r="C70" s="62"/>
      <x:c r="D70" s="62"/>
      <x:c r="E70" s="62"/>
      <x:c r="F70" s="62"/>
      <x:c r="G70" s="62"/>
    </x:row>
    <x:row r="71">
      <x:c r="A71" s="62"/>
      <x:c r="B71" s="62"/>
      <x:c r="C71" s="62"/>
      <x:c r="D71" s="62"/>
      <x:c r="E71" s="62"/>
      <x:c r="F71" s="62"/>
      <x:c r="G71" s="62"/>
    </x:row>
    <x:row r="72">
      <x:c r="A72" s="62"/>
      <x:c r="B72" s="62"/>
      <x:c r="C72" s="62"/>
      <x:c r="D72" s="62"/>
      <x:c r="E72" s="62"/>
      <x:c r="F72" s="62"/>
      <x:c r="G72" s="62"/>
    </x:row>
    <x:row r="73">
      <x:c r="A73" s="62"/>
      <x:c r="B73" s="62"/>
      <x:c r="C73" s="62"/>
      <x:c r="D73" s="62"/>
      <x:c r="E73" s="62"/>
      <x:c r="F73" s="62"/>
      <x:c r="G73" s="62"/>
    </x:row>
    <x:row r="74">
      <x:c r="A74" s="62"/>
      <x:c r="B74" s="62"/>
      <x:c r="C74" s="62"/>
      <x:c r="D74" s="62"/>
      <x:c r="E74" s="62"/>
      <x:c r="F74" s="62"/>
      <x:c r="G74" s="62"/>
    </x:row>
    <x:row r="75">
      <x:c r="A75" s="62"/>
      <x:c r="B75" s="62"/>
      <x:c r="C75" s="62"/>
      <x:c r="D75" s="62"/>
      <x:c r="E75" s="62"/>
      <x:c r="F75" s="62"/>
      <x:c r="G75" s="62"/>
    </x:row>
    <x:row r="76">
      <x:c r="A76" s="62"/>
      <x:c r="B76" s="62"/>
      <x:c r="C76" s="62"/>
      <x:c r="D76" s="62"/>
      <x:c r="E76" s="62"/>
      <x:c r="F76" s="62"/>
      <x:c r="G76" s="62"/>
    </x:row>
    <x:row r="77">
      <x:c r="A77" s="62"/>
      <x:c r="B77" s="62"/>
      <x:c r="C77" s="62"/>
      <x:c r="D77" s="62"/>
      <x:c r="E77" s="62"/>
      <x:c r="F77" s="62"/>
      <x:c r="G77" s="62"/>
    </x:row>
    <x:row r="78">
      <x:c r="A78" s="62"/>
      <x:c r="B78" s="62"/>
      <x:c r="C78" s="62"/>
      <x:c r="D78" s="62"/>
      <x:c r="E78" s="62"/>
      <x:c r="F78" s="62"/>
      <x:c r="G78" s="62"/>
    </x:row>
    <x:row r="79">
      <x:c r="A79" s="62"/>
      <x:c r="B79" s="62"/>
      <x:c r="C79" s="62"/>
      <x:c r="D79" s="62"/>
      <x:c r="E79" s="62"/>
      <x:c r="F79" s="62"/>
      <x:c r="G79" s="62"/>
    </x:row>
    <x:row r="80">
      <x:c r="A80" s="62"/>
      <x:c r="B80" s="62"/>
      <x:c r="C80" s="62"/>
      <x:c r="D80" s="62"/>
      <x:c r="E80" s="62"/>
      <x:c r="F80" s="62"/>
      <x:c r="G80" s="62"/>
    </x:row>
    <x:row r="81">
      <x:c r="A81" s="62"/>
      <x:c r="B81" s="62"/>
      <x:c r="C81" s="62"/>
      <x:c r="D81" s="62"/>
      <x:c r="E81" s="62"/>
      <x:c r="F81" s="62"/>
      <x:c r="G81" s="62"/>
    </x:row>
    <x:row r="82">
      <x:c r="A82" s="62"/>
      <x:c r="B82" s="62"/>
      <x:c r="C82" s="62"/>
      <x:c r="D82" s="62"/>
      <x:c r="E82" s="62"/>
      <x:c r="F82" s="62"/>
      <x:c r="G82" s="62"/>
    </x:row>
    <x:row r="83">
      <x:c r="A83" s="62"/>
      <x:c r="B83" s="62"/>
      <x:c r="C83" s="62"/>
      <x:c r="D83" s="62"/>
      <x:c r="E83" s="62"/>
      <x:c r="F83" s="62"/>
      <x:c r="G83" s="62"/>
    </x:row>
    <x:row r="84">
      <x:c r="A84" s="62"/>
      <x:c r="B84" s="62"/>
      <x:c r="C84" s="62"/>
      <x:c r="D84" s="62"/>
      <x:c r="E84" s="62"/>
      <x:c r="F84" s="62"/>
      <x:c r="G84" s="62"/>
    </x:row>
    <x:row r="85">
      <x:c r="A85" s="62"/>
      <x:c r="B85" s="62"/>
      <x:c r="C85" s="62"/>
      <x:c r="D85" s="62"/>
      <x:c r="E85" s="62"/>
      <x:c r="F85" s="62"/>
      <x:c r="G85" s="62"/>
    </x:row>
    <x:row r="86">
      <x:c r="A86" s="62"/>
      <x:c r="B86" s="62"/>
      <x:c r="C86" s="62"/>
      <x:c r="D86" s="62"/>
      <x:c r="E86" s="62"/>
      <x:c r="F86" s="62"/>
      <x:c r="G86" s="62"/>
    </x:row>
    <x:row r="87">
      <x:c r="A87" s="62"/>
      <x:c r="B87" s="62"/>
      <x:c r="C87" s="62"/>
      <x:c r="D87" s="62"/>
      <x:c r="E87" s="62"/>
      <x:c r="F87" s="62"/>
      <x:c r="G87" s="62"/>
    </x:row>
    <x:row r="88">
      <x:c r="A88" s="62"/>
      <x:c r="B88" s="62"/>
      <x:c r="C88" s="62"/>
      <x:c r="D88" s="62"/>
      <x:c r="E88" s="62"/>
      <x:c r="F88" s="62"/>
      <x:c r="G88" s="62"/>
    </x:row>
    <x:row r="89">
      <x:c r="A89" s="62"/>
      <x:c r="B89" s="62"/>
      <x:c r="C89" s="62"/>
      <x:c r="D89" s="62"/>
      <x:c r="E89" s="62"/>
      <x:c r="F89" s="62"/>
      <x:c r="G89" s="62"/>
    </x:row>
    <x:row r="90">
      <x:c r="A90" s="62"/>
      <x:c r="B90" s="62"/>
      <x:c r="C90" s="62"/>
      <x:c r="D90" s="62"/>
      <x:c r="E90" s="62"/>
      <x:c r="F90" s="62"/>
      <x:c r="G90" s="62"/>
    </x:row>
    <x:row r="91">
      <x:c r="A91" s="62"/>
      <x:c r="B91" s="62"/>
      <x:c r="C91" s="62"/>
      <x:c r="D91" s="62"/>
      <x:c r="E91" s="62"/>
      <x:c r="F91" s="62"/>
      <x:c r="G91" s="62"/>
    </x:row>
    <x:row r="92">
      <x:c r="A92" s="62"/>
      <x:c r="B92" s="62"/>
      <x:c r="C92" s="62"/>
      <x:c r="D92" s="62"/>
      <x:c r="E92" s="62"/>
      <x:c r="F92" s="62"/>
      <x:c r="G92" s="62"/>
    </x:row>
    <x:row r="93">
      <x:c r="A93" s="62"/>
      <x:c r="B93" s="62"/>
      <x:c r="C93" s="62"/>
      <x:c r="D93" s="62"/>
      <x:c r="E93" s="62"/>
      <x:c r="F93" s="62"/>
      <x:c r="G93" s="62"/>
    </x:row>
    <x:row r="94">
      <x:c r="A94" s="62"/>
      <x:c r="B94" s="62"/>
      <x:c r="C94" s="62"/>
      <x:c r="D94" s="62"/>
      <x:c r="E94" s="62"/>
      <x:c r="F94" s="62"/>
      <x:c r="G94" s="62"/>
    </x:row>
    <x:row r="95">
      <x:c r="A95" s="62"/>
      <x:c r="B95" s="62"/>
      <x:c r="C95" s="62"/>
      <x:c r="D95" s="62"/>
      <x:c r="E95" s="62"/>
      <x:c r="F95" s="62"/>
      <x:c r="G95" s="62"/>
    </x:row>
    <x:row r="96">
      <x:c r="A96" s="62"/>
      <x:c r="B96" s="62"/>
      <x:c r="C96" s="62"/>
      <x:c r="D96" s="62"/>
      <x:c r="E96" s="62"/>
      <x:c r="F96" s="62"/>
      <x:c r="G96" s="62"/>
    </x:row>
    <x:row r="97">
      <x:c r="A97" s="62"/>
      <x:c r="B97" s="62"/>
      <x:c r="C97" s="62"/>
      <x:c r="D97" s="62"/>
      <x:c r="E97" s="62"/>
      <x:c r="F97" s="62"/>
      <x:c r="G97" s="62"/>
    </x:row>
    <x:row r="98">
      <x:c r="A98" s="62"/>
      <x:c r="B98" s="62"/>
      <x:c r="C98" s="62"/>
      <x:c r="D98" s="62"/>
      <x:c r="E98" s="62"/>
      <x:c r="F98" s="62"/>
      <x:c r="G98" s="62"/>
    </x:row>
    <x:row r="99">
      <x:c r="A99" s="62"/>
      <x:c r="B99" s="62"/>
      <x:c r="C99" s="62"/>
      <x:c r="D99" s="62"/>
      <x:c r="E99" s="62"/>
      <x:c r="F99" s="62"/>
      <x:c r="G99" s="62"/>
    </x:row>
    <x:row r="100">
      <x:c r="A100" s="62"/>
      <x:c r="B100" s="62"/>
      <x:c r="C100" s="62"/>
      <x:c r="D100" s="62"/>
      <x:c r="E100" s="62"/>
      <x:c r="F100" s="62"/>
      <x:c r="G100" s="62"/>
    </x:row>
  </x:sheetData>
  <x:dataValidations count="2">
    <x:dataValidation type="list" sqref="D2:D100">
      <x:formula1>"A,B,C,D"</x:formula1>
    </x:dataValidation>
    <x:dataValidation type="list" sqref="F2:F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439390af1c4c3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55" hidden="0" customWidth="1"/>
    <x:col min="4" max="4" width="38" hidden="0" customWidth="1"/>
  </x:cols>
  <x:sheetData>
    <x:row r="1">
      <x:c r="A1" s="88" t="str">
        <x:v>Type</x:v>
      </x:c>
      <x:c r="B1" s="88" t="str">
        <x:v>Value</x:v>
      </x:c>
      <x:c r="C1" s="88" t="str">
        <x:v>Definition / Use</x:v>
      </x:c>
      <x:c r="D1" s="88" t="str">
        <x:v>Example</x:v>
      </x:c>
    </x:row>
    <x:row r="2">
      <x:c r="A2" s="62" t="str">
        <x:v>Topic</x:v>
      </x:c>
      <x:c r="B2" s="62" t="str">
        <x:v>Product Safety</x:v>
      </x:c>
      <x:c r="C2" s="62" t="str">
        <x:v>General safety, incidents, recalls and market surveillance</x:v>
      </x:c>
      <x:c r="D2" s="62" t="str">
        <x:v>GPSR / CPSC</x:v>
      </x:c>
    </x:row>
    <x:row r="3">
      <x:c r="A3" s="62" t="str">
        <x:v>Topic</x:v>
      </x:c>
      <x:c r="B3" s="62" t="str">
        <x:v>Electrical Safety</x:v>
      </x:c>
      <x:c r="C3" s="62" t="str">
        <x:v>Electric shock, fire and electrical equipment requirements</x:v>
      </x:c>
      <x:c r="D3" s="62" t="str">
        <x:v>LVD / Electrical Equipment Safety</x:v>
      </x:c>
    </x:row>
    <x:row r="4">
      <x:c r="A4" s="62" t="str">
        <x:v>Topic</x:v>
      </x:c>
      <x:c r="B4" s="62" t="str">
        <x:v>Machinery</x:v>
      </x:c>
      <x:c r="C4" s="62" t="str">
        <x:v>Moving parts, blades, guards and machinery safety</x:v>
      </x:c>
      <x:c r="D4" s="62" t="str">
        <x:v>Machinery Regulation</x:v>
      </x:c>
    </x:row>
    <x:row r="5">
      <x:c r="A5" s="62" t="str">
        <x:v>Topic</x:v>
      </x:c>
      <x:c r="B5" s="62" t="str">
        <x:v>EMC</x:v>
      </x:c>
      <x:c r="C5" s="62" t="str">
        <x:v>Electromagnetic compatibility</x:v>
      </x:c>
      <x:c r="D5" s="62" t="str">
        <x:v>EU EMC / FCC interference</x:v>
      </x:c>
    </x:row>
    <x:row r="6">
      <x:c r="A6" s="62" t="str">
        <x:v>Topic</x:v>
      </x:c>
      <x:c r="B6" s="62" t="str">
        <x:v>Radio / Wireless</x:v>
      </x:c>
      <x:c r="C6" s="62" t="str">
        <x:v>Wi-Fi, Bluetooth and radio equipment</x:v>
      </x:c>
      <x:c r="D6" s="62" t="str">
        <x:v>RED / FCC</x:v>
      </x:c>
    </x:row>
    <x:row r="7">
      <x:c r="A7" s="62" t="str">
        <x:v>Topic</x:v>
      </x:c>
      <x:c r="B7" s="62" t="str">
        <x:v>Packaging / PPWR / EPR</x:v>
      </x:c>
      <x:c r="C7" s="62" t="str">
        <x:v>Packaging design, reporting, recycling and producer responsibility</x:v>
      </x:c>
      <x:c r="D7" s="62" t="str">
        <x:v>PPWR / state EPR</x:v>
      </x:c>
    </x:row>
    <x:row r="8">
      <x:c r="A8" s="62" t="str">
        <x:v>Topic</x:v>
      </x:c>
      <x:c r="B8" s="62" t="str">
        <x:v>Batteries</x:v>
      </x:c>
      <x:c r="C8" s="62" t="str">
        <x:v>Battery safety, labelling, removability, recycling and EPR</x:v>
      </x:c>
      <x:c r="D8" s="62" t="str">
        <x:v>EU Batteries Regulation</x:v>
      </x:c>
    </x:row>
    <x:row r="9">
      <x:c r="A9" s="62" t="str">
        <x:v>Topic</x:v>
      </x:c>
      <x:c r="B9" s="62" t="str">
        <x:v>WEEE / Waste</x:v>
      </x:c>
      <x:c r="C9" s="62" t="str">
        <x:v>Electrical and electronic waste</x:v>
      </x:c>
      <x:c r="D9" s="62" t="str">
        <x:v>WEEE</x:v>
      </x:c>
    </x:row>
    <x:row r="10">
      <x:c r="A10" s="62" t="str">
        <x:v>Topic</x:v>
      </x:c>
      <x:c r="B10" s="62" t="str">
        <x:v>Chemicals / REACH / RoHS / PFAS</x:v>
      </x:c>
      <x:c r="C10" s="62" t="str">
        <x:v>Restricted substances and material declarations</x:v>
      </x:c>
      <x:c r="D10" s="62" t="str">
        <x:v>REACH / RoHS / PFAS</x:v>
      </x:c>
    </x:row>
    <x:row r="11">
      <x:c r="A11" s="62" t="str">
        <x:v>Topic</x:v>
      </x:c>
      <x:c r="B11" s="62" t="str">
        <x:v>Ecodesign / Energy Efficiency</x:v>
      </x:c>
      <x:c r="C11" s="62" t="str">
        <x:v>Energy use, standby, efficiency and design</x:v>
      </x:c>
      <x:c r="D11" s="62" t="str">
        <x:v>Ecodesign / DOE</x:v>
      </x:c>
    </x:row>
    <x:row r="12">
      <x:c r="A12" s="62" t="str">
        <x:v>Topic</x:v>
      </x:c>
      <x:c r="B12" s="62" t="str">
        <x:v>Cybersecurity / IoT</x:v>
      </x:c>
      <x:c r="C12" s="62" t="str">
        <x:v>Connected product security and software updates</x:v>
      </x:c>
      <x:c r="D12" s="62" t="str">
        <x:v>CRA / RED delegated requirements</x:v>
      </x:c>
    </x:row>
    <x:row r="13">
      <x:c r="A13" s="62" t="str">
        <x:v>Topic</x:v>
      </x:c>
      <x:c r="B13" s="62" t="str">
        <x:v>Labelling / Instructions</x:v>
      </x:c>
      <x:c r="C13" s="62" t="str">
        <x:v>Markings, warnings, traceability and language</x:v>
      </x:c>
      <x:c r="D13" s="62" t="str">
        <x:v>CE / UK / Canada bilingual</x:v>
      </x:c>
    </x:row>
    <x:row r="14">
      <x:c r="A14" s="62" t="str">
        <x:v>Topic</x:v>
      </x:c>
      <x:c r="B14" s="62" t="str">
        <x:v>Transport / Dangerous Goods</x:v>
      </x:c>
      <x:c r="C14" s="62" t="str">
        <x:v>Lithium battery and dangerous-goods logistics</x:v>
      </x:c>
      <x:c r="D14" s="62" t="str">
        <x:v>UN 38.3 / PHMSA</x:v>
      </x:c>
    </x:row>
    <x:row r="15">
      <x:c r="A15" s="62" t="str">
        <x:v>Topic</x:v>
      </x:c>
      <x:c r="B15" s="62" t="str">
        <x:v>Trade / Market Access</x:v>
      </x:c>
      <x:c r="C15" s="62" t="str">
        <x:v>Import, certification, customs and market access</x:v>
      </x:c>
      <x:c r="D15" s="62" t="str">
        <x:v>Importer / certification rules</x:v>
      </x:c>
    </x:row>
    <x:row r="16">
      <x:c r="A16" s="62" t="str">
        <x:v>Topic</x:v>
      </x:c>
      <x:c r="B16" s="62" t="str">
        <x:v>Noise / Vibration / Outdoor Equipment</x:v>
      </x:c>
      <x:c r="C16" s="62" t="str">
        <x:v>Outdoor machinery noise and vibration</x:v>
      </x:c>
      <x:c r="D16" s="62" t="str">
        <x:v>Outdoor Noise Directive</x:v>
      </x:c>
    </x:row>
    <x:row r="17">
      <x:c r="A17" s="62"/>
      <x:c r="B17" s="62"/>
      <x:c r="C17" s="62"/>
      <x:c r="D17" s="62"/>
    </x:row>
    <x:row r="18">
      <x:c r="A18" s="62"/>
      <x:c r="B18" s="62"/>
      <x:c r="C18" s="62"/>
      <x:c r="D18" s="62"/>
    </x:row>
    <x:row r="19">
      <x:c r="A19" s="62"/>
      <x:c r="B19" s="62"/>
      <x:c r="C19" s="62"/>
      <x:c r="D19" s="62"/>
    </x:row>
    <x:row r="20">
      <x:c r="A20" s="62"/>
      <x:c r="B20" s="62"/>
      <x:c r="C20" s="62"/>
      <x:c r="D20" s="62"/>
    </x:row>
    <x:row r="21">
      <x:c r="A21" s="62"/>
      <x:c r="B21" s="62"/>
      <x:c r="C21" s="62"/>
      <x:c r="D21" s="62"/>
    </x:row>
    <x:row r="22">
      <x:c r="A22" s="62"/>
      <x:c r="B22" s="62"/>
      <x:c r="C22" s="62"/>
      <x:c r="D22" s="62"/>
    </x:row>
    <x:row r="23">
      <x:c r="A23" s="62"/>
      <x:c r="B23" s="62"/>
      <x:c r="C23" s="62"/>
      <x:c r="D23" s="62"/>
    </x:row>
    <x:row r="24">
      <x:c r="A24" s="62"/>
      <x:c r="B24" s="62"/>
      <x:c r="C24" s="62"/>
      <x:c r="D24" s="62"/>
    </x:row>
    <x:row r="25">
      <x:c r="A25" s="62"/>
      <x:c r="B25" s="62"/>
      <x:c r="C25" s="62"/>
      <x:c r="D25" s="62"/>
    </x:row>
    <x:row r="26">
      <x:c r="A26" s="62"/>
      <x:c r="B26" s="62"/>
      <x:c r="C26" s="62"/>
      <x:c r="D26" s="62"/>
    </x:row>
    <x:row r="27">
      <x:c r="A27" s="62"/>
      <x:c r="B27" s="62"/>
      <x:c r="C27" s="62"/>
      <x:c r="D27" s="62"/>
    </x:row>
    <x:row r="28">
      <x:c r="A28" s="62"/>
      <x:c r="B28" s="62"/>
      <x:c r="C28" s="62"/>
      <x:c r="D28" s="62"/>
    </x:row>
    <x:row r="29">
      <x:c r="A29" s="62"/>
      <x:c r="B29" s="62"/>
      <x:c r="C29" s="62"/>
      <x:c r="D29" s="62"/>
    </x:row>
    <x:row r="30">
      <x:c r="A30" s="62"/>
      <x:c r="B30" s="62"/>
      <x:c r="C30" s="62"/>
      <x:c r="D30" s="62"/>
    </x:row>
    <x:row r="31">
      <x:c r="A31" s="62"/>
      <x:c r="B31" s="62"/>
      <x:c r="C31" s="62"/>
      <x:c r="D31" s="62"/>
    </x:row>
    <x:row r="32">
      <x:c r="A32" s="62"/>
      <x:c r="B32" s="62"/>
      <x:c r="C32" s="62"/>
      <x:c r="D32" s="62"/>
    </x:row>
    <x:row r="33">
      <x:c r="A33" s="62"/>
      <x:c r="B33" s="62"/>
      <x:c r="C33" s="62"/>
      <x:c r="D33" s="62"/>
    </x:row>
    <x:row r="34">
      <x:c r="A34" s="62"/>
      <x:c r="B34" s="62"/>
      <x:c r="C34" s="62"/>
      <x:c r="D34" s="62"/>
    </x:row>
    <x:row r="35">
      <x:c r="A35" s="62"/>
      <x:c r="B35" s="62"/>
      <x:c r="C35" s="62"/>
      <x:c r="D35" s="62"/>
    </x:row>
    <x:row r="36">
      <x:c r="A36" s="62"/>
      <x:c r="B36" s="62"/>
      <x:c r="C36" s="62"/>
      <x:c r="D36" s="62"/>
    </x:row>
    <x:row r="37">
      <x:c r="A37" s="62"/>
      <x:c r="B37" s="62"/>
      <x:c r="C37" s="62"/>
      <x:c r="D37" s="62"/>
    </x:row>
    <x:row r="38">
      <x:c r="A38" s="62"/>
      <x:c r="B38" s="62"/>
      <x:c r="C38" s="62"/>
      <x:c r="D38" s="62"/>
    </x:row>
    <x:row r="39">
      <x:c r="A39" s="62"/>
      <x:c r="B39" s="62"/>
      <x:c r="C39" s="62"/>
      <x:c r="D39" s="62"/>
    </x:row>
    <x:row r="40">
      <x:c r="A40" s="62"/>
      <x:c r="B40" s="62"/>
      <x:c r="C40" s="62"/>
      <x:c r="D40" s="62"/>
    </x:row>
    <x:row r="41">
      <x:c r="A41" s="62"/>
      <x:c r="B41" s="62"/>
      <x:c r="C41" s="62"/>
      <x:c r="D41" s="62"/>
    </x:row>
    <x:row r="42">
      <x:c r="A42" s="62"/>
      <x:c r="B42" s="62"/>
      <x:c r="C42" s="62"/>
      <x:c r="D42" s="62"/>
    </x:row>
    <x:row r="43">
      <x:c r="A43" s="62"/>
      <x:c r="B43" s="62"/>
      <x:c r="C43" s="62"/>
      <x:c r="D43" s="62"/>
    </x:row>
    <x:row r="44">
      <x:c r="A44" s="62"/>
      <x:c r="B44" s="62"/>
      <x:c r="C44" s="62"/>
      <x:c r="D44" s="62"/>
    </x:row>
    <x:row r="45">
      <x:c r="A45" s="62"/>
      <x:c r="B45" s="62"/>
      <x:c r="C45" s="62"/>
      <x:c r="D45" s="62"/>
    </x:row>
    <x:row r="46">
      <x:c r="A46" s="62"/>
      <x:c r="B46" s="62"/>
      <x:c r="C46" s="62"/>
      <x:c r="D46" s="62"/>
    </x:row>
    <x:row r="47">
      <x:c r="A47" s="62"/>
      <x:c r="B47" s="62"/>
      <x:c r="C47" s="62"/>
      <x:c r="D47" s="62"/>
    </x:row>
    <x:row r="48">
      <x:c r="A48" s="62"/>
      <x:c r="B48" s="62"/>
      <x:c r="C48" s="62"/>
      <x:c r="D48" s="62"/>
    </x:row>
    <x:row r="49">
      <x:c r="A49" s="62"/>
      <x:c r="B49" s="62"/>
      <x:c r="C49" s="62"/>
      <x:c r="D49" s="62"/>
    </x:row>
    <x:row r="50">
      <x:c r="A50" s="62"/>
      <x:c r="B50" s="62"/>
      <x:c r="C50" s="62"/>
      <x:c r="D50" s="62"/>
    </x:row>
    <x:row r="51">
      <x:c r="A51" s="62"/>
      <x:c r="B51" s="62"/>
      <x:c r="C51" s="62"/>
      <x:c r="D51" s="62"/>
    </x:row>
    <x:row r="52">
      <x:c r="A52" s="62"/>
      <x:c r="B52" s="62"/>
      <x:c r="C52" s="62"/>
      <x:c r="D52" s="62"/>
    </x:row>
    <x:row r="53">
      <x:c r="A53" s="62"/>
      <x:c r="B53" s="62"/>
      <x:c r="C53" s="62"/>
      <x:c r="D53" s="62"/>
    </x:row>
    <x:row r="54">
      <x:c r="A54" s="62"/>
      <x:c r="B54" s="62"/>
      <x:c r="C54" s="62"/>
      <x:c r="D54" s="62"/>
    </x:row>
    <x:row r="55">
      <x:c r="A55" s="62"/>
      <x:c r="B55" s="62"/>
      <x:c r="C55" s="62"/>
      <x:c r="D55" s="62"/>
    </x:row>
    <x:row r="56">
      <x:c r="A56" s="62"/>
      <x:c r="B56" s="62"/>
      <x:c r="C56" s="62"/>
      <x:c r="D56" s="62"/>
    </x:row>
    <x:row r="57">
      <x:c r="A57" s="62"/>
      <x:c r="B57" s="62"/>
      <x:c r="C57" s="62"/>
      <x:c r="D57" s="62"/>
    </x:row>
    <x:row r="58">
      <x:c r="A58" s="62"/>
      <x:c r="B58" s="62"/>
      <x:c r="C58" s="62"/>
      <x:c r="D58" s="62"/>
    </x:row>
    <x:row r="59">
      <x:c r="A59" s="62"/>
      <x:c r="B59" s="62"/>
      <x:c r="C59" s="62"/>
      <x:c r="D59" s="62"/>
    </x:row>
    <x:row r="60">
      <x:c r="A60" s="62"/>
      <x:c r="B60" s="62"/>
      <x:c r="C60" s="62"/>
      <x:c r="D60" s="62"/>
    </x:row>
    <x:row r="61">
      <x:c r="A61" s="62"/>
      <x:c r="B61" s="62"/>
      <x:c r="C61" s="62"/>
      <x:c r="D61" s="62"/>
    </x:row>
    <x:row r="62">
      <x:c r="A62" s="62"/>
      <x:c r="B62" s="62"/>
      <x:c r="C62" s="62"/>
      <x:c r="D62" s="62"/>
    </x:row>
    <x:row r="63">
      <x:c r="A63" s="62"/>
      <x:c r="B63" s="62"/>
      <x:c r="C63" s="62"/>
      <x:c r="D63" s="62"/>
    </x:row>
    <x:row r="64">
      <x:c r="A64" s="62"/>
      <x:c r="B64" s="62"/>
      <x:c r="C64" s="62"/>
      <x:c r="D64" s="62"/>
    </x:row>
    <x:row r="65">
      <x:c r="A65" s="62"/>
      <x:c r="B65" s="62"/>
      <x:c r="C65" s="62"/>
      <x:c r="D65" s="62"/>
    </x:row>
    <x:row r="66">
      <x:c r="A66" s="62"/>
      <x:c r="B66" s="62"/>
      <x:c r="C66" s="62"/>
      <x:c r="D66" s="62"/>
    </x:row>
    <x:row r="67">
      <x:c r="A67" s="62"/>
      <x:c r="B67" s="62"/>
      <x:c r="C67" s="62"/>
      <x:c r="D67" s="62"/>
    </x:row>
    <x:row r="68">
      <x:c r="A68" s="62"/>
      <x:c r="B68" s="62"/>
      <x:c r="C68" s="62"/>
      <x:c r="D68" s="62"/>
    </x:row>
    <x:row r="69">
      <x:c r="A69" s="62"/>
      <x:c r="B69" s="62"/>
      <x:c r="C69" s="62"/>
      <x:c r="D69" s="62"/>
    </x:row>
    <x:row r="70">
      <x:c r="A70" s="62"/>
      <x:c r="B70" s="62"/>
      <x:c r="C70" s="62"/>
      <x:c r="D70" s="62"/>
    </x:row>
    <x:row r="71">
      <x:c r="A71" s="62"/>
      <x:c r="B71" s="62"/>
      <x:c r="C71" s="62"/>
      <x:c r="D71" s="62"/>
    </x:row>
    <x:row r="72">
      <x:c r="A72" s="62"/>
      <x:c r="B72" s="62"/>
      <x:c r="C72" s="62"/>
      <x:c r="D72" s="62"/>
    </x:row>
    <x:row r="73">
      <x:c r="A73" s="62"/>
      <x:c r="B73" s="62"/>
      <x:c r="C73" s="62"/>
      <x:c r="D73" s="62"/>
    </x:row>
    <x:row r="74">
      <x:c r="A74" s="62"/>
      <x:c r="B74" s="62"/>
      <x:c r="C74" s="62"/>
      <x:c r="D74" s="62"/>
    </x:row>
    <x:row r="75">
      <x:c r="A75" s="62"/>
      <x:c r="B75" s="62"/>
      <x:c r="C75" s="62"/>
      <x:c r="D75" s="62"/>
    </x:row>
    <x:row r="76">
      <x:c r="A76" s="62"/>
      <x:c r="B76" s="62"/>
      <x:c r="C76" s="62"/>
      <x:c r="D76" s="62"/>
    </x:row>
    <x:row r="77">
      <x:c r="A77" s="62"/>
      <x:c r="B77" s="62"/>
      <x:c r="C77" s="62"/>
      <x:c r="D77" s="62"/>
    </x:row>
    <x:row r="78">
      <x:c r="A78" s="62"/>
      <x:c r="B78" s="62"/>
      <x:c r="C78" s="62"/>
      <x:c r="D78" s="62"/>
    </x:row>
    <x:row r="79">
      <x:c r="A79" s="62"/>
      <x:c r="B79" s="62"/>
      <x:c r="C79" s="62"/>
      <x:c r="D79" s="62"/>
    </x:row>
    <x:row r="80">
      <x:c r="A80" s="62"/>
      <x:c r="B80" s="62"/>
      <x:c r="C80" s="62"/>
      <x:c r="D80" s="62"/>
    </x:row>
    <x:row r="81">
      <x:c r="A81" s="62"/>
      <x:c r="B81" s="62"/>
      <x:c r="C81" s="62"/>
      <x:c r="D81" s="62"/>
    </x:row>
    <x:row r="82">
      <x:c r="A82" s="62"/>
      <x:c r="B82" s="62"/>
      <x:c r="C82" s="62"/>
      <x:c r="D82" s="62"/>
    </x:row>
    <x:row r="83">
      <x:c r="A83" s="62"/>
      <x:c r="B83" s="62"/>
      <x:c r="C83" s="62"/>
      <x:c r="D83" s="62"/>
    </x:row>
    <x:row r="84">
      <x:c r="A84" s="62"/>
      <x:c r="B84" s="62"/>
      <x:c r="C84" s="62"/>
      <x:c r="D84" s="62"/>
    </x:row>
    <x:row r="85">
      <x:c r="A85" s="62"/>
      <x:c r="B85" s="62"/>
      <x:c r="C85" s="62"/>
      <x:c r="D85" s="62"/>
    </x:row>
    <x:row r="86">
      <x:c r="A86" s="62"/>
      <x:c r="B86" s="62"/>
      <x:c r="C86" s="62"/>
      <x:c r="D86" s="62"/>
    </x:row>
    <x:row r="87">
      <x:c r="A87" s="62"/>
      <x:c r="B87" s="62"/>
      <x:c r="C87" s="62"/>
      <x:c r="D87" s="62"/>
    </x:row>
    <x:row r="88">
      <x:c r="A88" s="62"/>
      <x:c r="B88" s="62"/>
      <x:c r="C88" s="62"/>
      <x:c r="D88" s="62"/>
    </x:row>
    <x:row r="89">
      <x:c r="A89" s="62"/>
      <x:c r="B89" s="62"/>
      <x:c r="C89" s="62"/>
      <x:c r="D89" s="62"/>
    </x:row>
    <x:row r="90">
      <x:c r="A90" s="62"/>
      <x:c r="B90" s="62"/>
      <x:c r="C90" s="62"/>
      <x:c r="D90" s="62"/>
    </x:row>
    <x:row r="91">
      <x:c r="A91" s="62"/>
      <x:c r="B91" s="62"/>
      <x:c r="C91" s="62"/>
      <x:c r="D91" s="62"/>
    </x:row>
    <x:row r="92">
      <x:c r="A92" s="62"/>
      <x:c r="B92" s="62"/>
      <x:c r="C92" s="62"/>
      <x:c r="D92" s="62"/>
    </x:row>
    <x:row r="93">
      <x:c r="A93" s="62"/>
      <x:c r="B93" s="62"/>
      <x:c r="C93" s="62"/>
      <x:c r="D93" s="62"/>
    </x:row>
    <x:row r="94">
      <x:c r="A94" s="62"/>
      <x:c r="B94" s="62"/>
      <x:c r="C94" s="62"/>
      <x:c r="D94" s="62"/>
    </x:row>
    <x:row r="95">
      <x:c r="A95" s="62"/>
      <x:c r="B95" s="62"/>
      <x:c r="C95" s="62"/>
      <x:c r="D95" s="62"/>
    </x:row>
    <x:row r="96">
      <x:c r="A96" s="62"/>
      <x:c r="B96" s="62"/>
      <x:c r="C96" s="62"/>
      <x:c r="D96" s="62"/>
    </x:row>
    <x:row r="97">
      <x:c r="A97" s="62"/>
      <x:c r="B97" s="62"/>
      <x:c r="C97" s="62"/>
      <x:c r="D97" s="62"/>
    </x:row>
    <x:row r="98">
      <x:c r="A98" s="62"/>
      <x:c r="B98" s="62"/>
      <x:c r="C98" s="62"/>
      <x:c r="D98" s="62"/>
    </x:row>
    <x:row r="99">
      <x:c r="A99" s="62"/>
      <x:c r="B99" s="62"/>
      <x:c r="C99" s="62"/>
      <x:c r="D99" s="62"/>
    </x:row>
    <x:row r="100">
      <x:c r="A100" s="62"/>
      <x:c r="B100" s="62"/>
      <x:c r="C100" s="62"/>
      <x:c r="D100" s="62"/>
    </x:row>
  </x:sheetData>
  <x:pageMargins left="0.7" right="0.7" top="0.75" bottom="0.75" header="0.3" footer="0.3"/>
  <x:tableParts count="1">
    <x:tablePart xmlns:r="http://schemas.openxmlformats.org/officeDocument/2006/relationships" r:id="R9c1399ed1e204b6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2" hidden="0" customWidth="1"/>
    <x:col min="4" max="4" width="28" hidden="0" customWidth="1"/>
    <x:col min="5" max="5" width="42" hidden="0" customWidth="1"/>
    <x:col min="6" max="6" width="55" hidden="0" customWidth="1"/>
  </x:cols>
  <x:sheetData>
    <x:row r="1">
      <x:c r="A1" s="91" t="str">
        <x:v>Cleva Regulatory Library 使用说明</x:v>
      </x:c>
      <x:c r="B1" s="91"/>
      <x:c r="C1" s="91"/>
      <x:c r="D1" s="91"/>
      <x:c r="E1" s="91"/>
      <x:c r="F1" s="91"/>
    </x:row>
    <x:row r="3">
      <x:c r="A3" s="22" t="str">
        <x:v>步骤</x:v>
      </x:c>
      <x:c r="B3" s="22" t="str">
        <x:v>操作</x:v>
      </x:c>
      <x:c r="C3" s="22" t="str">
        <x:v>责任人</x:v>
      </x:c>
      <x:c r="D3" s="22" t="str">
        <x:v>输出</x:v>
      </x:c>
      <x:c r="E3" s="22" t="str">
        <x:v>审核要求</x:v>
      </x:c>
      <x:c r="F3" s="22" t="str">
        <x:v>说明</x:v>
      </x:c>
    </x:row>
    <x:row r="4">
      <x:c r="A4" s="96" t="str">
        <x:v>1</x:v>
      </x:c>
      <x:c r="B4" s="62" t="str">
        <x:v>输入法规主题和地区进行实时搜索</x:v>
      </x:c>
      <x:c r="C4" s="62" t="str">
        <x:v>法规/合规人员</x:v>
      </x:c>
      <x:c r="D4" s="62" t="str">
        <x:v>候选结果</x:v>
      </x:c>
      <x:c r="E4" s="62" t="str">
        <x:v>优先仅搜索官方域名</x:v>
      </x:c>
      <x:c r="F4" s="62" t="str">
        <x:v>搜索词应同时覆盖法规、修订、实施法案、指南和提案</x:v>
      </x:c>
    </x:row>
    <x:row r="5">
      <x:c r="A5" s="96" t="str">
        <x:v>2</x:v>
      </x:c>
      <x:c r="B5" s="62" t="str">
        <x:v>系统抓取网页或PDF并由AI初步整理</x:v>
      </x:c>
      <x:c r="C5" s="62" t="str">
        <x:v>系统</x:v>
      </x:c>
      <x:c r="D5" s="62" t="str">
        <x:v>结构化候选记录</x:v>
      </x:c>
      <x:c r="E5" s="62" t="str">
        <x:v>AI字段不得直接视为事实</x:v>
      </x:c>
      <x:c r="F5" s="62" t="str">
        <x:v>保存标题、官方URL、来源、时间、文本Hash和AI摘要</x:v>
      </x:c>
    </x:row>
    <x:row r="6">
      <x:c r="A6" s="96" t="str">
        <x:v>3</x:v>
      </x:c>
      <x:c r="B6" s="62" t="str">
        <x:v>人工打开官方链接核验</x:v>
      </x:c>
      <x:c r="C6" s="62" t="str">
        <x:v>审核人</x:v>
      </x:c>
      <x:c r="D6" s="62" t="str">
        <x:v>审核结论</x:v>
      </x:c>
      <x:c r="E6" s="62" t="str">
        <x:v>检查编号、状态、日期、版本和相关性</x:v>
      </x:c>
      <x:c r="F6" s="62" t="str">
        <x:v>必要时升级法务或外部顾问</x:v>
      </x:c>
    </x:row>
    <x:row r="7">
      <x:c r="A7" s="96" t="str">
        <x:v>4</x:v>
      </x:c>
      <x:c r="B7" s="62" t="str">
        <x:v>批准后加入Regulation_Master</x:v>
      </x:c>
      <x:c r="C7" s="62" t="str">
        <x:v>审核人</x:v>
      </x:c>
      <x:c r="D7" s="62" t="str">
        <x:v>正式知识库记录</x:v>
      </x:c>
      <x:c r="E7" s="62" t="str">
        <x:v>填写审核人和Last Verified Date</x:v>
      </x:c>
      <x:c r="F7" s="62" t="str">
        <x:v>未批准内容保留在Pending_Review</x:v>
      </x:c>
    </x:row>
    <x:row r="8">
      <x:c r="A8" s="96" t="str">
        <x:v>5</x:v>
      </x:c>
      <x:c r="B8" s="62" t="str">
        <x:v>定期重新搜索和检查更新</x:v>
      </x:c>
      <x:c r="C8" s="62" t="str">
        <x:v>法规负责人</x:v>
      </x:c>
      <x:c r="D8" s="62" t="str">
        <x:v>更新候选</x:v>
      </x:c>
      <x:c r="E8" s="62" t="str">
        <x:v>禁止静默覆盖旧版本</x:v>
      </x:c>
      <x:c r="F8" s="62" t="str">
        <x:v>新版本应记录修订、替代或废止关系</x:v>
      </x:c>
    </x:row>
    <x:row r="9">
      <x:c r="A9" s="96" t="str">
        <x:v>6</x:v>
      </x:c>
      <x:c r="B9" s="62" t="str">
        <x:v>导出Excel或Word供内部使用</x:v>
      </x:c>
      <x:c r="C9" s="62" t="str">
        <x:v>系统/用户</x:v>
      </x:c>
      <x:c r="D9" s="62" t="str">
        <x:v>台账或法规卡片</x:v>
      </x:c>
      <x:c r="E9" s="62" t="str">
        <x:v>以数据库为主版本</x:v>
      </x:c>
      <x:c r="F9" s="62" t="str">
        <x:v>导出文件应保留官方链接和审核信息</x:v>
      </x:c>
    </x:row>
    <x:row r="10">
      <x:c r="A10" s="96"/>
      <x:c r="B10" s="62"/>
      <x:c r="C10" s="62"/>
      <x:c r="D10" s="62"/>
      <x:c r="E10" s="62"/>
      <x:c r="F10" s="62"/>
    </x:row>
    <x:row r="11">
      <x:c r="A11" s="109" t="str">
        <x:v>新增规则</x:v>
      </x:c>
      <x:c r="B11" s="62" t="str">
        <x:v>第三方来源分流</x:v>
      </x:c>
      <x:c r="C11" s="62" t="str">
        <x:v>审核人</x:v>
      </x:c>
      <x:c r="D11" s="62" t="str">
        <x:v>法规情报库或正式法规库</x:v>
      </x:c>
      <x:c r="E11" s="62" t="str">
        <x:v>第三方来源进入正式法规库前必须补充官方法规链接</x:v>
      </x:c>
      <x:c r="F11" s="62" t="str">
        <x:v>Intertek、REACH24H、CAA等默认作为法规情报资料</x:v>
      </x:c>
    </x:row>
    <x:row r="12">
      <x:c r="A12" s="109" t="str">
        <x:v>检索模式</x:v>
      </x:c>
      <x:c r="B12" s="62" t="str">
        <x:v>快速 / 仅官方 / 深度</x:v>
      </x:c>
      <x:c r="C12" s="62" t="str">
        <x:v>搜索人员</x:v>
      </x:c>
      <x:c r="D12" s="62" t="str">
        <x:v>候选资料</x:v>
      </x:c>
      <x:c r="E12" s="62" t="str">
        <x:v>最终法律结论优先使用仅官方检索</x:v>
      </x:c>
      <x:c r="F12" s="62" t="str">
        <x:v>深度检索会消耗更多搜索API请求</x:v>
      </x:c>
    </x:row>
    <x:row r="13">
      <x:c r="A13" s="109" t="str">
        <x:v>来源等级</x:v>
      </x:c>
      <x:c r="B13" s="62" t="str">
        <x:v>A / B / C / D</x:v>
      </x:c>
      <x:c r="C13" s="62" t="str">
        <x:v>法规负责人</x:v>
      </x:c>
      <x:c r="D13" s="62" t="str">
        <x:v>可信度标签</x:v>
      </x:c>
      <x:c r="E13" s="62" t="str">
        <x:v>等级表示来源属性，不等同于法规适用性结论</x:v>
      </x:c>
      <x:c r="F13" s="62" t="str">
        <x:v>A为正式立法源；C/D主要用于线索和解读</x:v>
      </x:c>
    </x:row>
    <x:row r="14">
      <x:c r="A14" s="96"/>
      <x:c r="B14" s="62"/>
      <x:c r="C14" s="62"/>
      <x:c r="D14" s="62"/>
      <x:c r="E14" s="62"/>
      <x:c r="F14" s="62"/>
    </x:row>
    <x:row r="15">
      <x:c r="A15" s="96"/>
      <x:c r="B15" s="62"/>
      <x:c r="C15" s="62"/>
      <x:c r="D15" s="62"/>
      <x:c r="E15" s="62"/>
      <x:c r="F15" s="62"/>
    </x:row>
    <x:row r="16">
      <x:c r="A16" s="96"/>
      <x:c r="B16" s="62"/>
      <x:c r="C16" s="62"/>
      <x:c r="D16" s="62"/>
      <x:c r="E16" s="62"/>
      <x:c r="F16" s="62"/>
    </x:row>
    <x:row r="17">
      <x:c r="A17" s="96"/>
      <x:c r="B17" s="62"/>
      <x:c r="C17" s="62"/>
      <x:c r="D17" s="62"/>
      <x:c r="E17" s="62"/>
      <x:c r="F17" s="62"/>
    </x:row>
    <x:row r="18">
      <x:c r="A18" s="96"/>
      <x:c r="B18" s="62"/>
      <x:c r="C18" s="62"/>
      <x:c r="D18" s="62"/>
      <x:c r="E18" s="62"/>
      <x:c r="F18" s="62"/>
    </x:row>
    <x:row r="19">
      <x:c r="A19" s="96"/>
      <x:c r="B19" s="62"/>
      <x:c r="C19" s="62"/>
      <x:c r="D19" s="62"/>
      <x:c r="E19" s="62"/>
      <x:c r="F19" s="62"/>
    </x:row>
    <x:row r="20">
      <x:c r="A20" s="96"/>
      <x:c r="B20" s="62"/>
      <x:c r="C20" s="62"/>
      <x:c r="D20" s="62"/>
      <x:c r="E20" s="62"/>
      <x:c r="F20" s="62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34" hidden="0" customWidth="1"/>
    <x:col min="4" max="4" width="18" hidden="0" customWidth="1"/>
    <x:col min="5" max="5" width="16" hidden="0" customWidth="1"/>
    <x:col min="6" max="6" width="28" hidden="0" customWidth="1"/>
    <x:col min="7" max="7" width="24" hidden="0" customWidth="1"/>
    <x:col min="8" max="8" width="14" hidden="0" customWidth="1"/>
    <x:col min="9" max="9" width="50" hidden="0" customWidth="1"/>
    <x:col min="10" max="10" width="50" hidden="0" customWidth="1"/>
    <x:col min="11" max="11" width="55" hidden="0" customWidth="1"/>
    <x:col min="12" max="12" width="28" hidden="0" customWidth="1"/>
    <x:col min="13" max="13" width="28" hidden="0" customWidth="1"/>
    <x:col min="14" max="14" width="12" hidden="0" customWidth="1"/>
    <x:col min="15" max="15" width="55" hidden="0" customWidth="1"/>
    <x:col min="16" max="16" width="16" hidden="0" customWidth="1"/>
    <x:col min="17" max="17" width="18" hidden="0" customWidth="1"/>
    <x:col min="18" max="18" width="20" hidden="0" customWidth="1"/>
  </x:cols>
  <x:sheetData>
    <x:row r="1">
      <x:c r="A1" s="108" t="str">
        <x:v>ID</x:v>
      </x:c>
      <x:c r="B1" s="108" t="str">
        <x:v>Original Title</x:v>
      </x:c>
      <x:c r="C1" s="108" t="str">
        <x:v>Chinese Title</x:v>
      </x:c>
      <x:c r="D1" s="108" t="str">
        <x:v>Jurisdiction</x:v>
      </x:c>
      <x:c r="E1" s="108" t="str">
        <x:v>Publication Date</x:v>
      </x:c>
      <x:c r="F1" s="108" t="str">
        <x:v>Topics</x:v>
      </x:c>
      <x:c r="G1" s="108" t="str">
        <x:v>Business Lines</x:v>
      </x:c>
      <x:c r="H1" s="108" t="str">
        <x:v>Relevance</x:v>
      </x:c>
      <x:c r="I1" s="108" t="str">
        <x:v>Chinese Summary</x:v>
      </x:c>
      <x:c r="J1" s="108" t="str">
        <x:v>Cleva Impact</x:v>
      </x:c>
      <x:c r="K1" s="108" t="str">
        <x:v>Source URL</x:v>
      </x:c>
      <x:c r="L1" s="108" t="str">
        <x:v>Source Name</x:v>
      </x:c>
      <x:c r="M1" s="108" t="str">
        <x:v>Source Type</x:v>
      </x:c>
      <x:c r="N1" s="108" t="str">
        <x:v>Source Level</x:v>
      </x:c>
      <x:c r="O1" s="108" t="str">
        <x:v>Related Official URL</x:v>
      </x:c>
      <x:c r="P1" s="108" t="str">
        <x:v>Last Verified</x:v>
      </x:c>
      <x:c r="Q1" s="108" t="str">
        <x:v>Reviewer</x:v>
      </x:c>
      <x:c r="R1" s="108" t="str">
        <x:v>Updated At</x:v>
      </x:c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</x:row>
    <x:row r="5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</x:row>
    <x:row r="6">
      <x:c r="A6" s="62"/>
      <x:c r="B6" s="6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</x:row>
    <x:row r="7">
      <x:c r="A7" s="62"/>
      <x:c r="B7" s="62"/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</x:row>
    <x:row r="8">
      <x:c r="A8" s="62"/>
      <x:c r="B8" s="62"/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</x:row>
  </x:sheetData>
  <x:pageMargins left="0.7" right="0.7" top="0.75" bottom="0.75" header="0.3" footer="0.3"/>
</x:worksheet>
</file>